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Home" sheetId="1" state="visible" r:id="rId1"/>
    <sheet xmlns:r="http://schemas.openxmlformats.org/officeDocument/2006/relationships" name="01_Config" sheetId="2" state="visible" r:id="rId2"/>
    <sheet xmlns:r="http://schemas.openxmlformats.org/officeDocument/2006/relationships" name="02_Employee_Master" sheetId="3" state="visible" r:id="rId3"/>
    <sheet xmlns:r="http://schemas.openxmlformats.org/officeDocument/2006/relationships" name="03_Roster" sheetId="4" state="visible" r:id="rId4"/>
    <sheet xmlns:r="http://schemas.openxmlformats.org/officeDocument/2006/relationships" name="W1_Roster" sheetId="5" state="visible" r:id="rId5"/>
    <sheet xmlns:r="http://schemas.openxmlformats.org/officeDocument/2006/relationships" name="W2_Roster" sheetId="6" state="visible" r:id="rId6"/>
    <sheet xmlns:r="http://schemas.openxmlformats.org/officeDocument/2006/relationships" name="W3_Roster" sheetId="7" state="visible" r:id="rId7"/>
    <sheet xmlns:r="http://schemas.openxmlformats.org/officeDocument/2006/relationships" name="W4_Roster" sheetId="8" state="visible" r:id="rId8"/>
    <sheet xmlns:r="http://schemas.openxmlformats.org/officeDocument/2006/relationships" name="W5_Roster" sheetId="9" state="visible" r:id="rId9"/>
    <sheet xmlns:r="http://schemas.openxmlformats.org/officeDocument/2006/relationships" name="04_Attendance" sheetId="10" state="visible" r:id="rId10"/>
    <sheet xmlns:r="http://schemas.openxmlformats.org/officeDocument/2006/relationships" name="05_Leave" sheetId="11" state="visible" r:id="rId11"/>
    <sheet xmlns:r="http://schemas.openxmlformats.org/officeDocument/2006/relationships" name="06_Dashboard" sheetId="12" state="visible" r:id="rId12"/>
  </sheets>
  <definedNames>
    <definedName name="_xlnm._FilterDatabase" localSheetId="2" hidden="1">'02_Employee_Master'!$A$5:$L$45</definedName>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MMMM YYYY"/>
    <numFmt numFmtId="167" formatCode="0.0%"/>
  </numFmts>
  <fonts count="31">
    <font>
      <name val="Calibri"/>
      <family val="2"/>
      <color theme="1"/>
      <sz val="11"/>
      <scheme val="minor"/>
    </font>
    <font>
      <name val="Calibri"/>
      <b val="1"/>
      <color rgb="000E7C7B"/>
      <sz val="9"/>
    </font>
    <font>
      <name val="Calibri"/>
      <b val="1"/>
      <color rgb="00FFFFFF"/>
      <sz val="18"/>
    </font>
    <font>
      <name val="Calibri"/>
      <color rgb="00A8C5C4"/>
      <sz val="11"/>
    </font>
    <font>
      <name val="Calibri"/>
      <b val="1"/>
      <color rgb="00FFFFFF"/>
      <sz val="10"/>
    </font>
    <font>
      <name val="Calibri"/>
      <b val="1"/>
      <color rgb="001A2332"/>
      <sz val="10"/>
    </font>
    <font>
      <name val="Calibri"/>
      <color rgb="001A2332"/>
      <sz val="10"/>
    </font>
    <font>
      <name val="Calibri"/>
      <b val="1"/>
      <color rgb="00FFFFFF"/>
      <sz val="11"/>
      <u val="single"/>
    </font>
    <font>
      <name val="Calibri"/>
      <b val="1"/>
      <color rgb="000D2137"/>
      <sz val="12"/>
    </font>
    <font>
      <name val="Calibri"/>
      <b val="1"/>
      <color rgb="001B7A4E"/>
      <sz val="10"/>
    </font>
    <font>
      <name val="Calibri"/>
      <color rgb="005A6A7A"/>
      <sz val="9"/>
    </font>
    <font>
      <name val="Calibri"/>
      <b val="1"/>
      <color rgb="00B71C1C"/>
      <sz val="10"/>
    </font>
    <font>
      <name val="Calibri"/>
      <b val="1"/>
      <color rgb="00B78103"/>
      <sz val="10"/>
    </font>
    <font>
      <name val="Calibri"/>
      <b val="1"/>
      <color rgb="00E65100"/>
      <sz val="10"/>
    </font>
    <font>
      <name val="Calibri"/>
      <b val="1"/>
      <color rgb="000D47A1"/>
      <sz val="10"/>
    </font>
    <font>
      <name val="Calibri"/>
      <b val="1"/>
      <color rgb="005E35B1"/>
      <sz val="10"/>
    </font>
    <font>
      <name val="Calibri"/>
      <b val="1"/>
      <color rgb="00AD1457"/>
      <sz val="10"/>
    </font>
    <font>
      <name val="Calibri"/>
      <b val="1"/>
      <color rgb="0000838F"/>
      <sz val="10"/>
    </font>
    <font>
      <name val="Calibri"/>
      <b val="1"/>
      <color rgb="00C62828"/>
      <sz val="10"/>
    </font>
    <font>
      <name val="Calibri"/>
      <b val="1"/>
      <color rgb="00607D8B"/>
      <sz val="10"/>
    </font>
    <font>
      <name val="Calibri"/>
      <b val="1"/>
      <color rgb="002E7D32"/>
      <sz val="10"/>
    </font>
    <font>
      <name val="Calibri"/>
      <i val="1"/>
      <color rgb="009E9E9E"/>
      <sz val="10"/>
    </font>
    <font>
      <name val="Calibri"/>
      <b val="1"/>
      <color rgb="00FFFFFF"/>
      <sz val="10"/>
      <u val="single"/>
    </font>
    <font>
      <name val="Calibri"/>
      <b val="1"/>
      <color rgb="00FFFFFF"/>
      <sz val="8"/>
    </font>
    <font>
      <name val="Calibri"/>
      <b val="1"/>
      <color rgb="001A2332"/>
      <sz val="11"/>
    </font>
    <font>
      <name val="Calibri"/>
      <b val="1"/>
      <color rgb="001A2332"/>
      <sz val="9"/>
    </font>
    <font>
      <name val="Calibri"/>
      <b val="1"/>
      <sz val="8"/>
    </font>
    <font>
      <name val="Calibri"/>
      <b val="1"/>
      <color rgb="005A6A7A"/>
      <sz val="9"/>
    </font>
    <font>
      <name val="Calibri"/>
      <b val="1"/>
      <color rgb="00FFFFFF"/>
      <sz val="9"/>
    </font>
    <font>
      <name val="Calibri"/>
      <b val="1"/>
      <color rgb="000D2137"/>
      <sz val="20"/>
    </font>
    <font>
      <name val="Calibri"/>
      <b val="1"/>
      <color rgb="000D2137"/>
      <sz val="22"/>
    </font>
  </fonts>
  <fills count="26">
    <fill>
      <patternFill/>
    </fill>
    <fill>
      <patternFill patternType="gray125"/>
    </fill>
    <fill>
      <patternFill patternType="solid">
        <fgColor rgb="000D2137"/>
      </patternFill>
    </fill>
    <fill>
      <patternFill patternType="solid">
        <fgColor rgb="000E7C7B"/>
      </patternFill>
    </fill>
    <fill>
      <patternFill patternType="solid">
        <fgColor rgb="00FFFFFF"/>
      </patternFill>
    </fill>
    <fill>
      <patternFill patternType="solid">
        <fgColor rgb="00EEF3F6"/>
      </patternFill>
    </fill>
    <fill>
      <patternFill patternType="solid">
        <fgColor rgb="001565C0"/>
      </patternFill>
    </fill>
    <fill>
      <patternFill patternType="solid">
        <fgColor rgb="005E35B1"/>
      </patternFill>
    </fill>
    <fill>
      <patternFill patternType="solid">
        <fgColor rgb="00C7522A"/>
      </patternFill>
    </fill>
    <fill>
      <patternFill patternType="solid">
        <fgColor rgb="00B78103"/>
      </patternFill>
    </fill>
    <fill>
      <patternFill patternType="solid">
        <fgColor rgb="00F0EDE6"/>
      </patternFill>
    </fill>
    <fill>
      <patternFill patternType="solid">
        <fgColor rgb="00F5E6E0"/>
      </patternFill>
    </fill>
    <fill>
      <patternFill patternType="solid">
        <fgColor rgb="00FFF3CD"/>
      </patternFill>
    </fill>
    <fill>
      <patternFill patternType="solid">
        <fgColor rgb="00D4EDDA"/>
      </patternFill>
    </fill>
    <fill>
      <patternFill patternType="solid">
        <fgColor rgb="00F8D7DA"/>
      </patternFill>
    </fill>
    <fill>
      <patternFill patternType="solid">
        <fgColor rgb="00FFE0B2"/>
      </patternFill>
    </fill>
    <fill>
      <patternFill patternType="solid">
        <fgColor rgb="00D6E4F0"/>
      </patternFill>
    </fill>
    <fill>
      <patternFill patternType="solid">
        <fgColor rgb="00EDE7F6"/>
      </patternFill>
    </fill>
    <fill>
      <patternFill patternType="solid">
        <fgColor rgb="00FCE4EC"/>
      </patternFill>
    </fill>
    <fill>
      <patternFill patternType="solid">
        <fgColor rgb="00E0F7FA"/>
      </patternFill>
    </fill>
    <fill>
      <patternFill patternType="solid">
        <fgColor rgb="00FFEBEE"/>
      </patternFill>
    </fill>
    <fill>
      <patternFill patternType="solid">
        <fgColor rgb="00ECEFF1"/>
      </patternFill>
    </fill>
    <fill>
      <patternFill patternType="solid">
        <fgColor rgb="00E8F5E9"/>
      </patternFill>
    </fill>
    <fill>
      <patternFill patternType="solid">
        <fgColor rgb="00F5F7FA"/>
      </patternFill>
    </fill>
    <fill>
      <patternFill patternType="solid">
        <fgColor rgb="001B7A4E"/>
      </patternFill>
    </fill>
    <fill>
      <patternFill patternType="solid">
        <fgColor rgb="00607D8B"/>
      </patternFill>
    </fill>
  </fills>
  <borders count="5">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style="thin">
        <color rgb="00CBD5E1"/>
      </right>
      <top style="thin">
        <color rgb="00CBD5E1"/>
      </top>
      <bottom style="thin">
        <color rgb="00CBD5E1"/>
      </bottom>
      <diagonal/>
    </border>
  </borders>
  <cellStyleXfs count="1">
    <xf numFmtId="0" fontId="0" fillId="0" borderId="0"/>
  </cellStyleXfs>
  <cellXfs count="99">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2" borderId="0" applyAlignment="1" pivotButton="0" quotePrefix="0" xfId="0">
      <alignment horizontal="left" vertical="center" indent="1"/>
    </xf>
    <xf numFmtId="0" fontId="3" fillId="2" borderId="0" applyAlignment="1" pivotButton="0" quotePrefix="0" xfId="0">
      <alignment horizontal="left" vertical="center" indent="1"/>
    </xf>
    <xf numFmtId="0" fontId="4" fillId="3" borderId="1" pivotButton="0" quotePrefix="0" xfId="0"/>
    <xf numFmtId="0" fontId="0" fillId="3" borderId="1" pivotButton="0" quotePrefix="0" xfId="0"/>
    <xf numFmtId="0" fontId="4" fillId="2" borderId="1" applyAlignment="1" pivotButton="0" quotePrefix="0" xfId="0">
      <alignment horizontal="center"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4" fillId="2" borderId="1" pivotButton="0" quotePrefix="0" xfId="0"/>
    <xf numFmtId="0" fontId="0" fillId="2" borderId="1" pivotButton="0" quotePrefix="0" xfId="0"/>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2" borderId="1" applyAlignment="1" pivotButton="0" quotePrefix="0" xfId="0">
      <alignment horizontal="center" vertical="center" wrapText="1"/>
    </xf>
    <xf numFmtId="0" fontId="6" fillId="10" borderId="1" applyAlignment="1" pivotButton="0" quotePrefix="0" xfId="0">
      <alignment vertical="top" wrapText="1"/>
    </xf>
    <xf numFmtId="0" fontId="4" fillId="8" borderId="1" pivotButton="0" quotePrefix="0" xfId="0"/>
    <xf numFmtId="0" fontId="0" fillId="8" borderId="1" pivotButton="0" quotePrefix="0" xfId="0"/>
    <xf numFmtId="0" fontId="5" fillId="11" borderId="1" pivotButton="0" quotePrefix="0" xfId="0"/>
    <xf numFmtId="0" fontId="6" fillId="4" borderId="1" pivotButton="0" quotePrefix="0" xfId="0"/>
    <xf numFmtId="0" fontId="0" fillId="4" borderId="1" pivotButton="0" quotePrefix="0" xfId="0"/>
    <xf numFmtId="0" fontId="6" fillId="5" borderId="1" pivotButton="0" quotePrefix="0" xfId="0"/>
    <xf numFmtId="0" fontId="0" fillId="5" borderId="1" pivotButton="0" quotePrefix="0" xfId="0"/>
    <xf numFmtId="0" fontId="8" fillId="12" borderId="1" applyAlignment="1" pivotButton="0" quotePrefix="0" xfId="0">
      <alignment horizontal="center" vertical="center" wrapText="1"/>
    </xf>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9" fillId="13" borderId="1" applyAlignment="1" pivotButton="0" quotePrefix="0" xfId="0">
      <alignment horizontal="center" vertical="center" wrapText="1"/>
    </xf>
    <xf numFmtId="0" fontId="10"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11" fillId="14" borderId="1" applyAlignment="1" pivotButton="0" quotePrefix="0" xfId="0">
      <alignment horizontal="center" vertical="center" wrapText="1"/>
    </xf>
    <xf numFmtId="0" fontId="10" fillId="5" borderId="1" applyAlignment="1" pivotButton="0" quotePrefix="0" xfId="0">
      <alignment horizontal="center" vertical="center" wrapText="1"/>
    </xf>
    <xf numFmtId="0" fontId="12" fillId="12" borderId="1" applyAlignment="1" pivotButton="0" quotePrefix="0" xfId="0">
      <alignment horizontal="center" vertical="center" wrapText="1"/>
    </xf>
    <xf numFmtId="0" fontId="13" fillId="15" borderId="1" applyAlignment="1" pivotButton="0" quotePrefix="0" xfId="0">
      <alignment horizontal="center" vertical="center" wrapText="1"/>
    </xf>
    <xf numFmtId="0" fontId="14" fillId="16" borderId="1" applyAlignment="1" pivotButton="0" quotePrefix="0" xfId="0">
      <alignment horizontal="center" vertical="center" wrapText="1"/>
    </xf>
    <xf numFmtId="0" fontId="15" fillId="17" borderId="1" applyAlignment="1" pivotButton="0" quotePrefix="0" xfId="0">
      <alignment horizontal="center" vertical="center" wrapText="1"/>
    </xf>
    <xf numFmtId="0" fontId="16" fillId="18" borderId="1" applyAlignment="1" pivotButton="0" quotePrefix="0" xfId="0">
      <alignment horizontal="center" vertical="center" wrapText="1"/>
    </xf>
    <xf numFmtId="0" fontId="17" fillId="19" borderId="1" applyAlignment="1" pivotButton="0" quotePrefix="0" xfId="0">
      <alignment horizontal="center" vertical="center" wrapText="1"/>
    </xf>
    <xf numFmtId="0" fontId="18" fillId="2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5" borderId="1" applyAlignment="1" pivotButton="0" quotePrefix="0" xfId="0">
      <alignment horizontal="center" vertical="center" wrapText="1"/>
    </xf>
    <xf numFmtId="0" fontId="21" fillId="21" borderId="1" applyAlignment="1" pivotButton="0" quotePrefix="0" xfId="0">
      <alignment horizontal="center" vertical="center" wrapText="1"/>
    </xf>
    <xf numFmtId="0" fontId="21" fillId="21" borderId="1" applyAlignment="1" pivotButton="0" quotePrefix="0" xfId="0">
      <alignment horizontal="left" vertical="center" wrapText="1"/>
    </xf>
    <xf numFmtId="165" fontId="21" fillId="21" borderId="1" applyAlignment="1" pivotButton="0" quotePrefix="0" xfId="0">
      <alignment horizontal="center" vertical="center" wrapText="1"/>
    </xf>
    <xf numFmtId="0" fontId="5" fillId="10" borderId="1" pivotButton="0" quotePrefix="0" xfId="0"/>
    <xf numFmtId="0" fontId="0" fillId="10" borderId="1" pivotButton="0" quotePrefix="0" xfId="0"/>
    <xf numFmtId="0" fontId="22" fillId="2" borderId="1" applyAlignment="1" pivotButton="0" quotePrefix="0" xfId="0">
      <alignment horizontal="center" vertical="center" wrapText="1"/>
    </xf>
    <xf numFmtId="0" fontId="22" fillId="3" borderId="1" applyAlignment="1" pivotButton="0" quotePrefix="0" xfId="0">
      <alignment horizontal="center" vertical="center" wrapText="1"/>
    </xf>
    <xf numFmtId="0" fontId="22" fillId="6"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8" borderId="1" applyAlignment="1" pivotButton="0" quotePrefix="0" xfId="0">
      <alignment horizontal="center" vertical="center" wrapText="1"/>
    </xf>
    <xf numFmtId="0" fontId="22" fillId="9" borderId="1" applyAlignment="1" pivotButton="0" quotePrefix="0" xfId="0">
      <alignment horizontal="center" vertical="center" wrapText="1"/>
    </xf>
    <xf numFmtId="0" fontId="10" fillId="0" borderId="0" applyAlignment="1" pivotButton="0" quotePrefix="0" xfId="0">
      <alignment horizontal="left" vertical="center" wrapText="1"/>
    </xf>
    <xf numFmtId="0" fontId="4" fillId="11" borderId="1" applyAlignment="1" pivotButton="0" quotePrefix="0" xfId="0">
      <alignment horizontal="center" vertical="center" wrapText="1"/>
    </xf>
    <xf numFmtId="0" fontId="23" fillId="2" borderId="1" applyAlignment="1" pivotButton="0" quotePrefix="0" xfId="0">
      <alignment horizontal="center" vertical="center" wrapText="1"/>
    </xf>
    <xf numFmtId="0" fontId="25" fillId="4" borderId="1" applyAlignment="1" pivotButton="0" quotePrefix="0" xfId="0">
      <alignment horizontal="center" vertical="center" wrapText="1"/>
    </xf>
    <xf numFmtId="0" fontId="25" fillId="5" borderId="1" applyAlignment="1" pivotButton="0" quotePrefix="0" xfId="0">
      <alignment horizontal="center" vertical="center" wrapText="1"/>
    </xf>
    <xf numFmtId="0" fontId="4" fillId="2" borderId="1" applyAlignment="1" pivotButton="0" quotePrefix="0" xfId="0">
      <alignment horizontal="right" vertical="center" indent="1"/>
    </xf>
    <xf numFmtId="0" fontId="4" fillId="3" borderId="1" applyAlignment="1" pivotButton="0" quotePrefix="0" xfId="0">
      <alignment horizontal="right" vertical="center" indent="1"/>
    </xf>
    <xf numFmtId="0" fontId="23" fillId="3" borderId="1" applyAlignment="1" pivotButton="0" quotePrefix="0" xfId="0">
      <alignment horizontal="center" vertical="center" wrapText="1"/>
    </xf>
    <xf numFmtId="0" fontId="4" fillId="7" borderId="1" applyAlignment="1" pivotButton="0" quotePrefix="0" xfId="0">
      <alignment horizontal="right" vertical="center" indent="1"/>
    </xf>
    <xf numFmtId="0" fontId="0" fillId="7" borderId="1" pivotButton="0" quotePrefix="0" xfId="0"/>
    <xf numFmtId="0" fontId="23" fillId="7" borderId="1" applyAlignment="1" pivotButton="0" quotePrefix="0" xfId="0">
      <alignment horizontal="center" vertical="center" wrapText="1"/>
    </xf>
    <xf numFmtId="0" fontId="10" fillId="10" borderId="0" pivotButton="0" quotePrefix="0" xfId="0"/>
    <xf numFmtId="0" fontId="10" fillId="0" borderId="0" pivotButton="0" quotePrefix="0" xfId="0"/>
    <xf numFmtId="0" fontId="24" fillId="4" borderId="1" applyAlignment="1" pivotButton="0" quotePrefix="0" xfId="0">
      <alignment horizontal="center" vertical="center" wrapText="1"/>
    </xf>
    <xf numFmtId="0" fontId="2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8" fillId="23" borderId="1" applyAlignment="1" pivotButton="0" quotePrefix="0" xfId="0">
      <alignment horizontal="center" vertical="center" wrapText="1"/>
    </xf>
    <xf numFmtId="166" fontId="8" fillId="23" borderId="1" applyAlignment="1" pivotButton="0" quotePrefix="0" xfId="0">
      <alignment horizontal="center" vertical="center" wrapText="1"/>
    </xf>
    <xf numFmtId="0" fontId="26" fillId="4" borderId="1" applyAlignment="1" pivotButton="0" quotePrefix="0" xfId="0">
      <alignment horizontal="center" vertical="center" wrapText="1"/>
    </xf>
    <xf numFmtId="0" fontId="5" fillId="4" borderId="1" applyAlignment="1" pivotButton="0" quotePrefix="0" xfId="0">
      <alignment horizontal="center" vertical="center" wrapText="1"/>
    </xf>
    <xf numFmtId="9" fontId="5" fillId="4" borderId="1" applyAlignment="1" pivotButton="0" quotePrefix="0" xfId="0">
      <alignment horizontal="center" vertical="center" wrapText="1"/>
    </xf>
    <xf numFmtId="0" fontId="26" fillId="5" borderId="1" applyAlignment="1" pivotButton="0" quotePrefix="0" xfId="0">
      <alignment horizontal="center" vertical="center" wrapText="1"/>
    </xf>
    <xf numFmtId="0" fontId="5" fillId="5" borderId="1" applyAlignment="1" pivotButton="0" quotePrefix="0" xfId="0">
      <alignment horizontal="center" vertical="center" wrapText="1"/>
    </xf>
    <xf numFmtId="9" fontId="5" fillId="5" borderId="1" applyAlignment="1" pivotButton="0" quotePrefix="0" xfId="0">
      <alignment horizontal="center" vertical="center" wrapText="1"/>
    </xf>
    <xf numFmtId="165" fontId="0" fillId="4" borderId="1" pivotButton="0" quotePrefix="0" xfId="0"/>
    <xf numFmtId="165" fontId="0" fillId="5" borderId="1" pivotButton="0" quotePrefix="0" xfId="0"/>
    <xf numFmtId="0" fontId="28" fillId="3" borderId="1" applyAlignment="1" pivotButton="0" quotePrefix="0" xfId="0">
      <alignment horizontal="center" vertical="center" wrapText="1"/>
    </xf>
    <xf numFmtId="0" fontId="28" fillId="24" borderId="1" applyAlignment="1" pivotButton="0" quotePrefix="0" xfId="0">
      <alignment horizontal="center" vertical="center" wrapText="1"/>
    </xf>
    <xf numFmtId="0" fontId="28" fillId="25" borderId="1" applyAlignment="1" pivotButton="0" quotePrefix="0" xfId="0">
      <alignment horizontal="center" vertical="center" wrapText="1"/>
    </xf>
    <xf numFmtId="0" fontId="28" fillId="7" borderId="1" applyAlignment="1" pivotButton="0" quotePrefix="0" xfId="0">
      <alignment horizontal="center" vertical="center" wrapText="1"/>
    </xf>
    <xf numFmtId="0" fontId="28" fillId="9" borderId="1" applyAlignment="1" pivotButton="0" quotePrefix="0" xfId="0">
      <alignment horizontal="center" vertical="center" wrapText="1"/>
    </xf>
    <xf numFmtId="0" fontId="29" fillId="23" borderId="1" applyAlignment="1" pivotButton="0" quotePrefix="0" xfId="0">
      <alignment horizontal="center" vertical="center" wrapText="1"/>
    </xf>
    <xf numFmtId="0" fontId="30" fillId="10" borderId="1" applyAlignment="1" pivotButton="0" quotePrefix="0" xfId="0">
      <alignment horizontal="center" vertical="center" wrapText="1"/>
    </xf>
    <xf numFmtId="167" fontId="30" fillId="10" borderId="1" applyAlignment="1" pivotButton="0" quotePrefix="0" xfId="0">
      <alignment horizontal="center" vertical="center" wrapText="1"/>
    </xf>
    <xf numFmtId="0" fontId="30" fillId="23" borderId="1" applyAlignment="1" pivotButton="0" quotePrefix="0" xfId="0">
      <alignment horizontal="center" vertical="center" wrapText="1"/>
    </xf>
    <xf numFmtId="0" fontId="0" fillId="4" borderId="1" applyAlignment="1" pivotButton="0" quotePrefix="0" xfId="0">
      <alignment horizontal="center" vertical="center" wrapText="1"/>
    </xf>
    <xf numFmtId="9"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9" fontId="0" fillId="5" borderId="1" applyAlignment="1" pivotButton="0" quotePrefix="0" xfId="0">
      <alignment horizontal="center" vertical="center" wrapText="1"/>
    </xf>
    <xf numFmtId="0" fontId="10" fillId="10" borderId="0" applyAlignment="1" pivotButton="0" quotePrefix="0" xfId="0">
      <alignment vertical="top" wrapText="1"/>
    </xf>
  </cellXfs>
  <cellStyles count="1">
    <cellStyle name="Normal" xfId="0" builtinId="0" hidden="0"/>
  </cellStyles>
  <dxfs count="32">
    <dxf>
      <font>
        <name val="Calibri"/>
        <b val="1"/>
        <color rgb="001B7A4E"/>
        <sz val="10"/>
      </font>
      <fill>
        <patternFill patternType="solid">
          <fgColor rgb="00D4EDDA"/>
        </patternFill>
      </fill>
    </dxf>
    <dxf>
      <font>
        <name val="Calibri"/>
        <i val="1"/>
        <color rgb="00607D8B"/>
        <sz val="10"/>
      </font>
      <fill>
        <patternFill patternType="solid">
          <fgColor rgb="00ECEFF1"/>
        </patternFill>
      </fill>
    </dxf>
    <dxf>
      <font>
        <name val="Calibri"/>
        <b val="1"/>
        <color rgb="001565C0"/>
        <sz val="9"/>
      </font>
      <fill>
        <patternFill patternType="solid">
          <fgColor rgb="00E3F2FD"/>
        </patternFill>
      </fill>
    </dxf>
    <dxf>
      <font>
        <name val="Calibri"/>
        <b val="1"/>
        <color rgb="00F9A825"/>
        <sz val="9"/>
      </font>
      <fill>
        <patternFill patternType="solid">
          <fgColor rgb="00FFF8E1"/>
        </patternFill>
      </fill>
    </dxf>
    <dxf>
      <font>
        <name val="Calibri"/>
        <b val="1"/>
        <color rgb="005E35B1"/>
        <sz val="9"/>
      </font>
      <fill>
        <patternFill patternType="solid">
          <fgColor rgb="00EDE7F6"/>
        </patternFill>
      </fill>
    </dxf>
    <dxf>
      <font>
        <name val="Calibri"/>
        <b val="1"/>
        <color rgb="00607D8B"/>
        <sz val="9"/>
      </font>
      <fill>
        <patternFill patternType="solid">
          <fgColor rgb="00ECEFF1"/>
        </patternFill>
      </fill>
    </dxf>
    <dxf>
      <font>
        <name val="Calibri"/>
        <b val="1"/>
        <color rgb="00FF6F00"/>
        <sz val="9"/>
      </font>
      <fill>
        <patternFill patternType="solid">
          <fgColor rgb="00FFECB3"/>
        </patternFill>
      </fill>
    </dxf>
    <dxf>
      <font>
        <name val="Calibri"/>
        <b val="1"/>
        <color rgb="007B1FA2"/>
        <sz val="9"/>
      </font>
      <fill>
        <patternFill patternType="solid">
          <fgColor rgb="00F3E5F5"/>
        </patternFill>
      </fill>
    </dxf>
    <dxf>
      <font>
        <name val="Calibri"/>
        <b val="1"/>
        <color rgb="0000695C"/>
        <sz val="9"/>
      </font>
      <fill>
        <patternFill patternType="solid">
          <fgColor rgb="00E0F2F1"/>
        </patternFill>
      </fill>
    </dxf>
    <dxf>
      <font>
        <name val="Calibri"/>
        <color rgb="00BDBDBD"/>
        <sz val="9"/>
      </font>
      <fill>
        <patternFill patternType="solid">
          <fgColor rgb="00F0F0F0"/>
        </patternFill>
      </fill>
    </dxf>
    <dxf>
      <font>
        <name val="Calibri"/>
        <b val="1"/>
        <color rgb="001565C0"/>
        <sz val="11"/>
      </font>
      <fill>
        <patternFill patternType="solid">
          <fgColor rgb="00E3F2FD"/>
        </patternFill>
      </fill>
    </dxf>
    <dxf>
      <font>
        <name val="Calibri"/>
        <b val="1"/>
        <color rgb="00F9A825"/>
        <sz val="11"/>
      </font>
      <fill>
        <patternFill patternType="solid">
          <fgColor rgb="00FFF8E1"/>
        </patternFill>
      </fill>
    </dxf>
    <dxf>
      <font>
        <name val="Calibri"/>
        <b val="1"/>
        <color rgb="005E35B1"/>
        <sz val="11"/>
      </font>
      <fill>
        <patternFill patternType="solid">
          <fgColor rgb="00EDE7F6"/>
        </patternFill>
      </fill>
    </dxf>
    <dxf>
      <font>
        <name val="Calibri"/>
        <b val="1"/>
        <color rgb="00607D8B"/>
        <sz val="11"/>
      </font>
      <fill>
        <patternFill patternType="solid">
          <fgColor rgb="00ECEFF1"/>
        </patternFill>
      </fill>
    </dxf>
    <dxf>
      <font>
        <name val="Calibri"/>
        <b val="1"/>
        <color rgb="00FF6F00"/>
        <sz val="11"/>
      </font>
      <fill>
        <patternFill patternType="solid">
          <fgColor rgb="00FFECB3"/>
        </patternFill>
      </fill>
    </dxf>
    <dxf>
      <font>
        <name val="Calibri"/>
        <b val="1"/>
        <color rgb="007B1FA2"/>
        <sz val="11"/>
      </font>
      <fill>
        <patternFill patternType="solid">
          <fgColor rgb="00F3E5F5"/>
        </patternFill>
      </fill>
    </dxf>
    <dxf>
      <font>
        <name val="Calibri"/>
        <b val="1"/>
        <color rgb="0000695C"/>
        <sz val="11"/>
      </font>
      <fill>
        <patternFill patternType="solid">
          <fgColor rgb="00E0F2F1"/>
        </patternFill>
      </fill>
    </dxf>
    <dxf>
      <font>
        <name val="Calibri"/>
        <color rgb="00BDBDBD"/>
        <sz val="11"/>
      </font>
      <fill>
        <patternFill patternType="solid">
          <fgColor rgb="00F0F0F0"/>
        </patternFill>
      </fill>
    </dxf>
    <dxf>
      <font>
        <name val="Calibri"/>
        <b val="1"/>
        <color rgb="001B7A4E"/>
        <sz val="8"/>
      </font>
      <fill>
        <patternFill patternType="solid">
          <fgColor rgb="00D4EDDA"/>
        </patternFill>
      </fill>
    </dxf>
    <dxf>
      <font>
        <name val="Calibri"/>
        <b val="1"/>
        <color rgb="00B71C1C"/>
        <sz val="8"/>
      </font>
      <fill>
        <patternFill patternType="solid">
          <fgColor rgb="00F8D7DA"/>
        </patternFill>
      </fill>
    </dxf>
    <dxf>
      <font>
        <name val="Calibri"/>
        <b val="1"/>
        <color rgb="00B78103"/>
        <sz val="8"/>
      </font>
      <fill>
        <patternFill patternType="solid">
          <fgColor rgb="00FFF3CD"/>
        </patternFill>
      </fill>
    </dxf>
    <dxf>
      <font>
        <name val="Calibri"/>
        <b val="1"/>
        <color rgb="00E65100"/>
        <sz val="8"/>
      </font>
      <fill>
        <patternFill patternType="solid">
          <fgColor rgb="00FFE0B2"/>
        </patternFill>
      </fill>
    </dxf>
    <dxf>
      <font>
        <name val="Calibri"/>
        <b val="1"/>
        <color rgb="000D47A1"/>
        <sz val="8"/>
      </font>
      <fill>
        <patternFill patternType="solid">
          <fgColor rgb="00D6E4F0"/>
        </patternFill>
      </fill>
    </dxf>
    <dxf>
      <font>
        <name val="Calibri"/>
        <b val="1"/>
        <color rgb="005E35B1"/>
        <sz val="8"/>
      </font>
      <fill>
        <patternFill patternType="solid">
          <fgColor rgb="00EDE7F6"/>
        </patternFill>
      </fill>
    </dxf>
    <dxf>
      <font>
        <name val="Calibri"/>
        <b val="1"/>
        <color rgb="00AD1457"/>
        <sz val="8"/>
      </font>
      <fill>
        <patternFill patternType="solid">
          <fgColor rgb="00FCE4EC"/>
        </patternFill>
      </fill>
    </dxf>
    <dxf>
      <font>
        <name val="Calibri"/>
        <b val="1"/>
        <color rgb="0000838F"/>
        <sz val="8"/>
      </font>
      <fill>
        <patternFill patternType="solid">
          <fgColor rgb="00E0F7FA"/>
        </patternFill>
      </fill>
    </dxf>
    <dxf>
      <font>
        <name val="Calibri"/>
        <b val="1"/>
        <color rgb="00C62828"/>
        <sz val="8"/>
      </font>
      <fill>
        <patternFill patternType="solid">
          <fgColor rgb="00FFEBEE"/>
        </patternFill>
      </fill>
    </dxf>
    <dxf>
      <font>
        <name val="Calibri"/>
        <b val="1"/>
        <color rgb="00607D8B"/>
        <sz val="8"/>
      </font>
      <fill>
        <patternFill patternType="solid">
          <fgColor rgb="00ECEFF1"/>
        </patternFill>
      </fill>
    </dxf>
    <dxf>
      <font>
        <name val="Calibri"/>
        <b val="1"/>
        <color rgb="002E7D32"/>
        <sz val="8"/>
      </font>
      <fill>
        <patternFill patternType="solid">
          <fgColor rgb="00E8F5E9"/>
        </patternFill>
      </fill>
    </dxf>
    <dxf>
      <font>
        <name val="Calibri"/>
        <color rgb="00BDBDBD"/>
        <sz val="8"/>
      </font>
      <fill>
        <patternFill patternType="solid">
          <fgColor rgb="00F0F0F0"/>
        </patternFill>
      </fill>
    </dxf>
    <dxf>
      <font>
        <name val="Calibri"/>
        <b val="1"/>
        <color rgb="00B78103"/>
        <sz val="10"/>
      </font>
      <fill>
        <patternFill patternType="solid">
          <fgColor rgb="00FFF3CD"/>
        </patternFill>
      </fill>
    </dxf>
    <dxf>
      <font>
        <name val="Calibri"/>
        <b val="1"/>
        <color rgb="00B71C1C"/>
        <sz val="10"/>
      </font>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Daily Present Headcount</a:t>
            </a:r>
          </a:p>
        </rich>
      </tx>
    </title>
    <plotArea>
      <lineChart>
        <grouping val="standard"/>
        <ser>
          <idx val="0"/>
          <order val="0"/>
          <tx>
            <strRef>
              <f>'06_Dashboard'!C25</f>
            </strRef>
          </tx>
          <spPr>
            <a:ln xmlns:a="http://schemas.openxmlformats.org/drawingml/2006/main">
              <a:prstDash val="solid"/>
            </a:ln>
          </spPr>
          <marker>
            <symbol val="none"/>
            <spPr>
              <a:ln xmlns:a="http://schemas.openxmlformats.org/drawingml/2006/main">
                <a:prstDash val="solid"/>
              </a:ln>
            </spPr>
          </marker>
          <cat>
            <numRef>
              <f>'06_Dashboard'!$B$26:$B$56</f>
            </numRef>
          </cat>
          <val>
            <numRef>
              <f>'06_Dashboard'!$C$26:$C$56</f>
            </numRef>
          </val>
        </ser>
        <axId val="10"/>
        <axId val="100"/>
      </line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Employees</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Active Staff by Department</a:t>
            </a:r>
          </a:p>
        </rich>
      </tx>
    </title>
    <plotArea>
      <barChart>
        <barDir val="col"/>
        <grouping val="clustered"/>
        <ser>
          <idx val="0"/>
          <order val="0"/>
          <tx>
            <strRef>
              <f>'06_Dashboard'!I14</f>
            </strRef>
          </tx>
          <spPr>
            <a:ln xmlns:a="http://schemas.openxmlformats.org/drawingml/2006/main">
              <a:prstDash val="solid"/>
            </a:ln>
          </spPr>
          <cat>
            <numRef>
              <f>'06_Dashboard'!$H$15:$H$22</f>
            </numRef>
          </cat>
          <val>
            <numRef>
              <f>'06_Dashboard'!$I$15:$I$22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23</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23</row>
      <rowOff>0</rowOff>
    </from>
    <ext cx="43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W1_Roster!A1" TargetMode="External" Id="rId1"/><Relationship Type="http://schemas.openxmlformats.org/officeDocument/2006/relationships/hyperlink" Target="#W2_Roster!A1" TargetMode="External" Id="rId2"/><Relationship Type="http://schemas.openxmlformats.org/officeDocument/2006/relationships/hyperlink" Target="#W3_Roster!A1" TargetMode="External" Id="rId3"/><Relationship Type="http://schemas.openxmlformats.org/officeDocument/2006/relationships/hyperlink" Target="#W4_Roster!A1" TargetMode="External" Id="rId4"/><Relationship Type="http://schemas.openxmlformats.org/officeDocument/2006/relationships/hyperlink" Target="#W5_Roster!A1" TargetMode="External" Id="rId5"/><Relationship Type="http://schemas.openxmlformats.org/officeDocument/2006/relationships/hyperlink" Target="#03_Roster!A1" TargetMode="External" Id="rId6"/></Relationships>
</file>

<file path=xl/worksheets/_rels/sheet4.xml.rels><Relationships xmlns="http://schemas.openxmlformats.org/package/2006/relationships"><Relationship Type="http://schemas.openxmlformats.org/officeDocument/2006/relationships/hyperlink" Target="#03_Roster!A1" TargetMode="External" Id="rId1"/><Relationship Type="http://schemas.openxmlformats.org/officeDocument/2006/relationships/hyperlink" Target="#W1_Roster!A1" TargetMode="External" Id="rId2"/><Relationship Type="http://schemas.openxmlformats.org/officeDocument/2006/relationships/hyperlink" Target="#W2_Roster!A1" TargetMode="External" Id="rId3"/><Relationship Type="http://schemas.openxmlformats.org/officeDocument/2006/relationships/hyperlink" Target="#W3_Roster!A1" TargetMode="External" Id="rId4"/><Relationship Type="http://schemas.openxmlformats.org/officeDocument/2006/relationships/hyperlink" Target="#W4_Roster!A1" TargetMode="External" Id="rId5"/><Relationship Type="http://schemas.openxmlformats.org/officeDocument/2006/relationships/hyperlink" Target="#W5_Roster!A1" TargetMode="External" Id="rId6"/></Relationships>
</file>

<file path=xl/worksheets/_rels/sheet5.xml.rels><Relationships xmlns="http://schemas.openxmlformats.org/package/2006/relationships"><Relationship Type="http://schemas.openxmlformats.org/officeDocument/2006/relationships/hyperlink" Target="#03_Roster!A1" TargetMode="External" Id="rId1"/><Relationship Type="http://schemas.openxmlformats.org/officeDocument/2006/relationships/hyperlink" Target="#W1_Roster!A1" TargetMode="External" Id="rId2"/><Relationship Type="http://schemas.openxmlformats.org/officeDocument/2006/relationships/hyperlink" Target="#W2_Roster!A1" TargetMode="External" Id="rId3"/><Relationship Type="http://schemas.openxmlformats.org/officeDocument/2006/relationships/hyperlink" Target="#W3_Roster!A1" TargetMode="External" Id="rId4"/><Relationship Type="http://schemas.openxmlformats.org/officeDocument/2006/relationships/hyperlink" Target="#W4_Roster!A1" TargetMode="External" Id="rId5"/><Relationship Type="http://schemas.openxmlformats.org/officeDocument/2006/relationships/hyperlink" Target="#W5_Roster!A1" TargetMode="External" Id="rId6"/></Relationships>
</file>

<file path=xl/worksheets/_rels/sheet6.xml.rels><Relationships xmlns="http://schemas.openxmlformats.org/package/2006/relationships"><Relationship Type="http://schemas.openxmlformats.org/officeDocument/2006/relationships/hyperlink" Target="#03_Roster!A1" TargetMode="External" Id="rId1"/><Relationship Type="http://schemas.openxmlformats.org/officeDocument/2006/relationships/hyperlink" Target="#W1_Roster!A1" TargetMode="External" Id="rId2"/><Relationship Type="http://schemas.openxmlformats.org/officeDocument/2006/relationships/hyperlink" Target="#W2_Roster!A1" TargetMode="External" Id="rId3"/><Relationship Type="http://schemas.openxmlformats.org/officeDocument/2006/relationships/hyperlink" Target="#W3_Roster!A1" TargetMode="External" Id="rId4"/><Relationship Type="http://schemas.openxmlformats.org/officeDocument/2006/relationships/hyperlink" Target="#W4_Roster!A1" TargetMode="External" Id="rId5"/><Relationship Type="http://schemas.openxmlformats.org/officeDocument/2006/relationships/hyperlink" Target="#W5_Roster!A1" TargetMode="External" Id="rId6"/></Relationships>
</file>

<file path=xl/worksheets/_rels/sheet7.xml.rels><Relationships xmlns="http://schemas.openxmlformats.org/package/2006/relationships"><Relationship Type="http://schemas.openxmlformats.org/officeDocument/2006/relationships/hyperlink" Target="#03_Roster!A1" TargetMode="External" Id="rId1"/><Relationship Type="http://schemas.openxmlformats.org/officeDocument/2006/relationships/hyperlink" Target="#W1_Roster!A1" TargetMode="External" Id="rId2"/><Relationship Type="http://schemas.openxmlformats.org/officeDocument/2006/relationships/hyperlink" Target="#W2_Roster!A1" TargetMode="External" Id="rId3"/><Relationship Type="http://schemas.openxmlformats.org/officeDocument/2006/relationships/hyperlink" Target="#W3_Roster!A1" TargetMode="External" Id="rId4"/><Relationship Type="http://schemas.openxmlformats.org/officeDocument/2006/relationships/hyperlink" Target="#W4_Roster!A1" TargetMode="External" Id="rId5"/><Relationship Type="http://schemas.openxmlformats.org/officeDocument/2006/relationships/hyperlink" Target="#W5_Roster!A1" TargetMode="External" Id="rId6"/></Relationships>
</file>

<file path=xl/worksheets/_rels/sheet8.xml.rels><Relationships xmlns="http://schemas.openxmlformats.org/package/2006/relationships"><Relationship Type="http://schemas.openxmlformats.org/officeDocument/2006/relationships/hyperlink" Target="#03_Roster!A1" TargetMode="External" Id="rId1"/><Relationship Type="http://schemas.openxmlformats.org/officeDocument/2006/relationships/hyperlink" Target="#W1_Roster!A1" TargetMode="External" Id="rId2"/><Relationship Type="http://schemas.openxmlformats.org/officeDocument/2006/relationships/hyperlink" Target="#W2_Roster!A1" TargetMode="External" Id="rId3"/><Relationship Type="http://schemas.openxmlformats.org/officeDocument/2006/relationships/hyperlink" Target="#W3_Roster!A1" TargetMode="External" Id="rId4"/><Relationship Type="http://schemas.openxmlformats.org/officeDocument/2006/relationships/hyperlink" Target="#W4_Roster!A1" TargetMode="External" Id="rId5"/><Relationship Type="http://schemas.openxmlformats.org/officeDocument/2006/relationships/hyperlink" Target="#W5_Roster!A1" TargetMode="External" Id="rId6"/></Relationships>
</file>

<file path=xl/worksheets/_rels/sheet9.xml.rels><Relationships xmlns="http://schemas.openxmlformats.org/package/2006/relationships"><Relationship Type="http://schemas.openxmlformats.org/officeDocument/2006/relationships/hyperlink" Target="#03_Roster!A1" TargetMode="External" Id="rId1"/><Relationship Type="http://schemas.openxmlformats.org/officeDocument/2006/relationships/hyperlink" Target="#W1_Roster!A1" TargetMode="External" Id="rId2"/><Relationship Type="http://schemas.openxmlformats.org/officeDocument/2006/relationships/hyperlink" Target="#W2_Roster!A1" TargetMode="External" Id="rId3"/><Relationship Type="http://schemas.openxmlformats.org/officeDocument/2006/relationships/hyperlink" Target="#W3_Roster!A1" TargetMode="External" Id="rId4"/><Relationship Type="http://schemas.openxmlformats.org/officeDocument/2006/relationships/hyperlink" Target="#W4_Roster!A1" TargetMode="External" Id="rId5"/><Relationship Type="http://schemas.openxmlformats.org/officeDocument/2006/relationships/hyperlink" Target="#W5_Roster!A1" TargetMode="External" Id="rId6"/></Relationships>
</file>

<file path=xl/worksheets/_rels/sheet1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D2137"/>
    <outlinePr summaryBelow="1" summaryRight="1"/>
    <pageSetUpPr fitToPage="1"/>
  </sheetPr>
  <dimension ref="A1:F30"/>
  <sheetViews>
    <sheetView showGridLines="0" zoomScale="90" workbookViewId="0">
      <selection activeCell="A1" sqref="A1"/>
    </sheetView>
  </sheetViews>
  <sheetFormatPr baseColWidth="8" defaultRowHeight="15"/>
  <cols>
    <col width="4" customWidth="1" min="1" max="1"/>
    <col width="28" customWidth="1" min="2" max="2"/>
    <col width="55" customWidth="1" min="3" max="3"/>
    <col width="22" customWidth="1" min="4" max="4"/>
    <col width="18" customWidth="1" min="5" max="5"/>
    <col width="18" customWidth="1" min="6" max="6"/>
  </cols>
  <sheetData>
    <row r="1" ht="16" customHeight="1">
      <c r="A1" s="1" t="inlineStr">
        <is>
          <t>PATHCARE DIAGNOSTICS  ·  Pathology Laboratory</t>
        </is>
      </c>
      <c r="B1" s="2" t="n"/>
      <c r="C1" s="2" t="n"/>
      <c r="D1" s="2" t="n"/>
      <c r="E1" s="2" t="n"/>
      <c r="F1" s="2" t="n"/>
    </row>
    <row r="2" ht="26" customHeight="1">
      <c r="A2" s="3" t="inlineStr">
        <is>
          <t>EMPLOYEE ATTENDANCE &amp; ROSTER MANAGEMENT</t>
        </is>
      </c>
      <c r="B2" s="2" t="n"/>
      <c r="C2" s="2" t="n"/>
      <c r="D2" s="2" t="n"/>
      <c r="E2" s="2" t="n"/>
      <c r="F2" s="2" t="n"/>
    </row>
    <row r="3" ht="18" customHeight="1">
      <c r="A3" s="4" t="inlineStr">
        <is>
          <t>Workforce HR system  ·  Single source of truth for staff, shifts, attendance &amp; leave</t>
        </is>
      </c>
      <c r="B3" s="2" t="n"/>
      <c r="C3" s="2" t="n"/>
      <c r="D3" s="2" t="n"/>
      <c r="E3" s="2" t="n"/>
      <c r="F3" s="2" t="n"/>
    </row>
    <row r="5">
      <c r="B5" s="5" t="inlineStr">
        <is>
          <t>WORKBOOK NAVIGATION</t>
        </is>
      </c>
      <c r="C5" s="6" t="n"/>
      <c r="D5" s="6" t="n"/>
    </row>
    <row r="6">
      <c r="B6" s="7" t="inlineStr">
        <is>
          <t>Sheet</t>
        </is>
      </c>
      <c r="C6" s="7" t="inlineStr">
        <is>
          <t>Purpose</t>
        </is>
      </c>
      <c r="D6" s="7" t="inlineStr">
        <is>
          <t>Edit here?</t>
        </is>
      </c>
    </row>
    <row r="7" ht="28" customHeight="1">
      <c r="B7" s="8" t="inlineStr">
        <is>
          <t>01_Config</t>
        </is>
      </c>
      <c r="C7" s="9" t="inlineStr">
        <is>
          <t>Shifts, attendance codes, leave types, departments, public holidays, leave policy.</t>
        </is>
      </c>
      <c r="D7" s="9" t="inlineStr">
        <is>
          <t>Yes — setup only</t>
        </is>
      </c>
    </row>
    <row r="8" ht="28" customHeight="1">
      <c r="B8" s="10" t="inlineStr">
        <is>
          <t>02_Employee_Master</t>
        </is>
      </c>
      <c r="C8" s="11" t="inlineStr">
        <is>
          <t>Master employee register. All other sheets pull names/IDs from here.</t>
        </is>
      </c>
      <c r="D8" s="11" t="inlineStr">
        <is>
          <t>Yes — HR master</t>
        </is>
      </c>
    </row>
    <row r="9" ht="28" customHeight="1">
      <c r="B9" s="8" t="inlineStr">
        <is>
          <t>03_Roster</t>
        </is>
      </c>
      <c r="C9" s="9" t="inlineStr">
        <is>
          <t>Full-month view (auto from Week sheets). Set Month/Year here. Use week buttons to edit.</t>
        </is>
      </c>
      <c r="D9" s="9" t="inlineStr">
        <is>
          <t>View + period</t>
        </is>
      </c>
    </row>
    <row r="10" ht="28" customHeight="1">
      <c r="B10" s="10" t="inlineStr">
        <is>
          <t>W1–W5_Roster</t>
        </is>
      </c>
      <c r="C10" s="11" t="inlineStr">
        <is>
          <t>Week-wise roster (Days 1–7, 8–14, 15–21, 22–28, 29–31). Edit shifts here.</t>
        </is>
      </c>
      <c r="D10" s="11" t="inlineStr">
        <is>
          <t>Yes — weekly edit</t>
        </is>
      </c>
    </row>
    <row r="11" ht="28" customHeight="1">
      <c r="B11" s="8" t="inlineStr">
        <is>
          <t>04_Attendance</t>
        </is>
      </c>
      <c r="C11" s="9" t="inlineStr">
        <is>
          <t>Daily attendance marks linked to roster month. Color-coded statuses.</t>
        </is>
      </c>
      <c r="D11" s="9" t="inlineStr">
        <is>
          <t>Yes — daily mark</t>
        </is>
      </c>
    </row>
    <row r="12" ht="28" customHeight="1">
      <c r="B12" s="10" t="inlineStr">
        <is>
          <t>05_Leave</t>
        </is>
      </c>
      <c r="C12" s="11" t="inlineStr">
        <is>
          <t>Leave applications, balances, approval workflow, manager remarks.</t>
        </is>
      </c>
      <c r="D12" s="11" t="inlineStr">
        <is>
          <t>Yes — leave desk</t>
        </is>
      </c>
    </row>
    <row r="13" ht="28" customHeight="1">
      <c r="B13" s="8" t="inlineStr">
        <is>
          <t>06_Dashboard</t>
        </is>
      </c>
      <c r="C13" s="9" t="inlineStr">
        <is>
          <t>Live KPIs, shift headcount, dept stats, trends. Formula-driven — do not type.</t>
        </is>
      </c>
      <c r="D13" s="9" t="inlineStr">
        <is>
          <t>No — auto</t>
        </is>
      </c>
    </row>
    <row r="15">
      <c r="B15" s="12" t="inlineStr">
        <is>
          <t>WEEK ROSTER SHORTCUTS  (click to open)</t>
        </is>
      </c>
      <c r="C15" s="13" t="n"/>
      <c r="D15" s="13" t="n"/>
    </row>
    <row r="16" ht="26" customHeight="1">
      <c r="B16" s="14" t="inlineStr">
        <is>
          <t>▶ Week 1 (Days 1–7)</t>
        </is>
      </c>
      <c r="C16" s="15" t="inlineStr">
        <is>
          <t>▶ Week 2 (Days 8–14)</t>
        </is>
      </c>
      <c r="D16" s="16" t="inlineStr">
        <is>
          <t>▶ Week 3 (Days 15–21)</t>
        </is>
      </c>
    </row>
    <row r="17" ht="26" customHeight="1">
      <c r="B17" s="17" t="inlineStr">
        <is>
          <t>▶ Week 4 (Days 22–28)</t>
        </is>
      </c>
      <c r="C17" s="18" t="inlineStr">
        <is>
          <t>▶ Week 5 (Days 29–31)</t>
        </is>
      </c>
      <c r="D17" s="19" t="inlineStr">
        <is>
          <t>📅 Full Month</t>
        </is>
      </c>
    </row>
    <row r="19">
      <c r="B19" s="20" t="inlineStr">
        <is>
          <t>OPERATING RULES
1. Maintain employees only on Employee Master (Active/Inactive).
2. Set Month / Year on 03_Roster (B5 / D5). Enter shifts on Week 1–5 sheets (buttons above).
3. Full Month roster mirrors weeks automatically. Then mark Attendance daily.
4. Leave sheet updates balances; Dashboard recalculates from live data.</t>
        </is>
      </c>
    </row>
    <row r="20"/>
    <row r="21"/>
    <row r="23">
      <c r="B23" s="21" t="inlineStr">
        <is>
          <t>WHEN THE MONTH CHANGES — DO THIS</t>
        </is>
      </c>
      <c r="C23" s="22" t="n"/>
      <c r="D23" s="22" t="n"/>
    </row>
    <row r="24" ht="20" customHeight="1">
      <c r="B24" s="23" t="inlineStr">
        <is>
          <t>Step 1</t>
        </is>
      </c>
      <c r="C24" s="24" t="inlineStr">
        <is>
          <t>Optional archive: File → Save As → Pathology_Roster_YYYY-MM.xlsx</t>
        </is>
      </c>
      <c r="D24" s="25" t="n"/>
    </row>
    <row r="25" ht="20" customHeight="1">
      <c r="B25" s="23" t="inlineStr">
        <is>
          <t>Step 2</t>
        </is>
      </c>
      <c r="C25" s="26" t="inlineStr">
        <is>
          <t>03_Roster → set B5 = new month, D5 = year.</t>
        </is>
      </c>
      <c r="D25" s="27" t="n"/>
    </row>
    <row r="26" ht="20" customHeight="1">
      <c r="B26" s="23" t="inlineStr">
        <is>
          <t>Step 3</t>
        </is>
      </c>
      <c r="C26" s="24" t="inlineStr">
        <is>
          <t>Open each Week 1–5 sheet → clear old marks → enter new week roster.</t>
        </is>
      </c>
      <c r="D26" s="25" t="n"/>
    </row>
    <row r="27" ht="20" customHeight="1">
      <c r="B27" s="23" t="inlineStr">
        <is>
          <t>Step 4</t>
        </is>
      </c>
      <c r="C27" s="26" t="inlineStr">
        <is>
          <t>Full Month updates from weeks. Clear &amp; mark 04_Attendance for the new month.</t>
        </is>
      </c>
      <c r="D27" s="27" t="n"/>
    </row>
    <row r="28" ht="20" customHeight="1">
      <c r="B28" s="23" t="inlineStr">
        <is>
          <t>Step 5</t>
        </is>
      </c>
      <c r="C28" s="24" t="inlineStr">
        <is>
          <t>Update holidays / leave as needed. Check Dashboard.</t>
        </is>
      </c>
      <c r="D28" s="25" t="n"/>
    </row>
    <row r="30">
      <c r="B30" s="5" t="inlineStr">
        <is>
          <t>CURRENT PERIOD</t>
        </is>
      </c>
      <c r="C30" s="28">
        <f>'03_Roster'!B5</f>
        <v/>
      </c>
      <c r="D30" s="28">
        <f>'03_Roster'!D5</f>
        <v/>
      </c>
    </row>
  </sheetData>
  <mergeCells count="12">
    <mergeCell ref="A2:F2"/>
    <mergeCell ref="B5:D5"/>
    <mergeCell ref="B15:D15"/>
    <mergeCell ref="C24:D24"/>
    <mergeCell ref="B19:D21"/>
    <mergeCell ref="B23:D23"/>
    <mergeCell ref="C25:D25"/>
    <mergeCell ref="A1:F1"/>
    <mergeCell ref="C27:D27"/>
    <mergeCell ref="C28:D28"/>
    <mergeCell ref="A3:F3"/>
    <mergeCell ref="C26:D26"/>
  </mergeCells>
  <hyperlinks>
    <hyperlink xmlns:r="http://schemas.openxmlformats.org/officeDocument/2006/relationships" ref="B16" r:id="rId1"/>
    <hyperlink xmlns:r="http://schemas.openxmlformats.org/officeDocument/2006/relationships" ref="C16" r:id="rId2"/>
    <hyperlink xmlns:r="http://schemas.openxmlformats.org/officeDocument/2006/relationships" ref="D16" r:id="rId3"/>
    <hyperlink xmlns:r="http://schemas.openxmlformats.org/officeDocument/2006/relationships" ref="B17" r:id="rId4"/>
    <hyperlink xmlns:r="http://schemas.openxmlformats.org/officeDocument/2006/relationships" ref="C17" r:id="rId5"/>
    <hyperlink xmlns:r="http://schemas.openxmlformats.org/officeDocument/2006/relationships" ref="D17" r:id="rId6"/>
  </hyperlinks>
  <pageMargins left="0.4" right="0.4" top="0.5" bottom="0.5" header="0.2" footer="0.2"/>
  <pageSetup orientation="landscape" paperSize="9" fitToHeight="0" fitToWidth="1"/>
</worksheet>
</file>

<file path=xl/worksheets/sheet2.xml><?xml version="1.0" encoding="utf-8"?>
<worksheet xmlns="http://schemas.openxmlformats.org/spreadsheetml/2006/main">
  <sheetPr>
    <tabColor rgb="000E7C7B"/>
    <outlinePr summaryBelow="1" summaryRight="1"/>
    <pageSetUpPr fitToPage="1"/>
  </sheetPr>
  <dimension ref="A1:J34"/>
  <sheetViews>
    <sheetView showGridLines="0" zoomScale="90" workbookViewId="0">
      <selection activeCell="A1" sqref="A1"/>
    </sheetView>
  </sheetViews>
  <sheetFormatPr baseColWidth="8" defaultRowHeight="15"/>
  <cols>
    <col width="4" customWidth="1" min="1" max="1"/>
    <col width="14" customWidth="1" min="2" max="2"/>
    <col width="22" customWidth="1" min="3" max="3"/>
    <col width="16" customWidth="1" min="4" max="4"/>
    <col width="4" customWidth="1" min="5" max="5"/>
    <col width="18" customWidth="1" min="6" max="6"/>
    <col width="28" customWidth="1" min="7" max="7"/>
    <col width="12" customWidth="1" min="8" max="8"/>
    <col width="12" customWidth="1" min="9" max="9"/>
    <col width="28" customWidth="1" min="10" max="10"/>
  </cols>
  <sheetData>
    <row r="1" ht="16" customHeight="1">
      <c r="A1" s="1" t="inlineStr">
        <is>
          <t>PATHCARE DIAGNOSTICS  ·  Pathology Laboratory</t>
        </is>
      </c>
      <c r="B1" s="2" t="n"/>
      <c r="C1" s="2" t="n"/>
      <c r="D1" s="2" t="n"/>
      <c r="E1" s="2" t="n"/>
      <c r="F1" s="2" t="n"/>
      <c r="G1" s="2" t="n"/>
      <c r="H1" s="2" t="n"/>
      <c r="I1" s="2" t="n"/>
      <c r="J1" s="2" t="n"/>
    </row>
    <row r="2" ht="26" customHeight="1">
      <c r="A2" s="3" t="inlineStr">
        <is>
          <t>SYSTEM CONFIGURATION</t>
        </is>
      </c>
      <c r="B2" s="2" t="n"/>
      <c r="C2" s="2" t="n"/>
      <c r="D2" s="2" t="n"/>
      <c r="E2" s="2" t="n"/>
      <c r="F2" s="2" t="n"/>
      <c r="G2" s="2" t="n"/>
      <c r="H2" s="2" t="n"/>
      <c r="I2" s="2" t="n"/>
      <c r="J2" s="2" t="n"/>
    </row>
    <row r="3" ht="18" customHeight="1">
      <c r="A3" s="4" t="inlineStr">
        <is>
          <t>Controlled lists for drop-downs  ·  Change carefully — used across the workbook</t>
        </is>
      </c>
      <c r="B3" s="2" t="n"/>
      <c r="C3" s="2" t="n"/>
      <c r="D3" s="2" t="n"/>
      <c r="E3" s="2" t="n"/>
      <c r="F3" s="2" t="n"/>
      <c r="G3" s="2" t="n"/>
      <c r="H3" s="2" t="n"/>
      <c r="I3" s="2" t="n"/>
      <c r="J3" s="2" t="n"/>
    </row>
    <row r="5">
      <c r="B5" s="29" t="inlineStr">
        <is>
          <t>SHIFT CODES</t>
        </is>
      </c>
      <c r="C5" s="29" t="n"/>
      <c r="D5" s="29" t="n"/>
      <c r="F5" s="29" t="inlineStr">
        <is>
          <t>ATTENDANCE CODES</t>
        </is>
      </c>
      <c r="G5" s="29" t="n"/>
      <c r="H5" s="29" t="n"/>
      <c r="I5" s="29" t="n"/>
    </row>
    <row r="6">
      <c r="B6" s="7" t="inlineStr">
        <is>
          <t>Code</t>
        </is>
      </c>
      <c r="C6" s="7" t="inlineStr">
        <is>
          <t>Shift</t>
        </is>
      </c>
      <c r="D6" s="7" t="inlineStr">
        <is>
          <t>Timing</t>
        </is>
      </c>
      <c r="F6" s="7" t="inlineStr">
        <is>
          <t>Code</t>
        </is>
      </c>
      <c r="G6" s="7" t="inlineStr">
        <is>
          <t>Meaning</t>
        </is>
      </c>
      <c r="H6" s="7" t="inlineStr">
        <is>
          <t>Fill</t>
        </is>
      </c>
      <c r="I6" s="7" t="inlineStr">
        <is>
          <t>Font</t>
        </is>
      </c>
    </row>
    <row r="7">
      <c r="B7" s="30" t="inlineStr">
        <is>
          <t>M</t>
        </is>
      </c>
      <c r="C7" s="9" t="inlineStr">
        <is>
          <t>Morning</t>
        </is>
      </c>
      <c r="D7" s="9" t="inlineStr">
        <is>
          <t>06:00–14:00</t>
        </is>
      </c>
      <c r="F7" s="31" t="inlineStr">
        <is>
          <t>P</t>
        </is>
      </c>
      <c r="G7" s="9" t="inlineStr">
        <is>
          <t>Present</t>
        </is>
      </c>
      <c r="H7" s="32" t="inlineStr">
        <is>
          <t>D4EDDA</t>
        </is>
      </c>
      <c r="I7" s="32" t="inlineStr">
        <is>
          <t>1B7A4E</t>
        </is>
      </c>
    </row>
    <row r="8">
      <c r="B8" s="33" t="inlineStr">
        <is>
          <t>E</t>
        </is>
      </c>
      <c r="C8" s="11" t="inlineStr">
        <is>
          <t>Evening</t>
        </is>
      </c>
      <c r="D8" s="11" t="inlineStr">
        <is>
          <t>14:00–22:00</t>
        </is>
      </c>
      <c r="F8" s="34" t="inlineStr">
        <is>
          <t>A</t>
        </is>
      </c>
      <c r="G8" s="11" t="inlineStr">
        <is>
          <t>Absent</t>
        </is>
      </c>
      <c r="H8" s="35" t="inlineStr">
        <is>
          <t>F8D7DA</t>
        </is>
      </c>
      <c r="I8" s="35" t="inlineStr">
        <is>
          <t>B71C1C</t>
        </is>
      </c>
    </row>
    <row r="9">
      <c r="B9" s="30" t="inlineStr">
        <is>
          <t>N</t>
        </is>
      </c>
      <c r="C9" s="9" t="inlineStr">
        <is>
          <t>Night</t>
        </is>
      </c>
      <c r="D9" s="9" t="inlineStr">
        <is>
          <t>22:00–06:00</t>
        </is>
      </c>
      <c r="F9" s="36" t="inlineStr">
        <is>
          <t>L</t>
        </is>
      </c>
      <c r="G9" s="9" t="inlineStr">
        <is>
          <t>Late Coming</t>
        </is>
      </c>
      <c r="H9" s="32" t="inlineStr">
        <is>
          <t>FFF3CD</t>
        </is>
      </c>
      <c r="I9" s="32" t="inlineStr">
        <is>
          <t>B78103</t>
        </is>
      </c>
    </row>
    <row r="10">
      <c r="B10" s="33" t="inlineStr">
        <is>
          <t>WO</t>
        </is>
      </c>
      <c r="C10" s="11" t="inlineStr">
        <is>
          <t>Weekly Off</t>
        </is>
      </c>
      <c r="D10" s="11" t="inlineStr">
        <is>
          <t>—</t>
        </is>
      </c>
      <c r="F10" s="37" t="inlineStr">
        <is>
          <t>HD</t>
        </is>
      </c>
      <c r="G10" s="11" t="inlineStr">
        <is>
          <t>Half Day</t>
        </is>
      </c>
      <c r="H10" s="35" t="inlineStr">
        <is>
          <t>FFE0B2</t>
        </is>
      </c>
      <c r="I10" s="35" t="inlineStr">
        <is>
          <t>E65100</t>
        </is>
      </c>
    </row>
    <row r="11">
      <c r="B11" s="30" t="inlineStr">
        <is>
          <t>PH</t>
        </is>
      </c>
      <c r="C11" s="9" t="inlineStr">
        <is>
          <t>Public Holiday</t>
        </is>
      </c>
      <c r="D11" s="9" t="inlineStr">
        <is>
          <t>—</t>
        </is>
      </c>
      <c r="F11" s="38" t="inlineStr">
        <is>
          <t>WFO</t>
        </is>
      </c>
      <c r="G11" s="9" t="inlineStr">
        <is>
          <t>Work From Office</t>
        </is>
      </c>
      <c r="H11" s="32" t="inlineStr">
        <is>
          <t>D6E4F0</t>
        </is>
      </c>
      <c r="I11" s="32" t="inlineStr">
        <is>
          <t>0D47A1</t>
        </is>
      </c>
    </row>
    <row r="12">
      <c r="B12" s="33" t="inlineStr">
        <is>
          <t>LV</t>
        </is>
      </c>
      <c r="C12" s="11" t="inlineStr">
        <is>
          <t>Leave</t>
        </is>
      </c>
      <c r="D12" s="11" t="inlineStr">
        <is>
          <t>—</t>
        </is>
      </c>
      <c r="F12" s="39" t="inlineStr">
        <is>
          <t>PL</t>
        </is>
      </c>
      <c r="G12" s="11" t="inlineStr">
        <is>
          <t>Planned Leave</t>
        </is>
      </c>
      <c r="H12" s="35" t="inlineStr">
        <is>
          <t>EDE7F6</t>
        </is>
      </c>
      <c r="I12" s="35" t="inlineStr">
        <is>
          <t>5E35B1</t>
        </is>
      </c>
    </row>
    <row r="13">
      <c r="B13" s="30" t="inlineStr">
        <is>
          <t>TR</t>
        </is>
      </c>
      <c r="C13" s="9" t="inlineStr">
        <is>
          <t>Training</t>
        </is>
      </c>
      <c r="D13" s="9" t="inlineStr">
        <is>
          <t>—</t>
        </is>
      </c>
      <c r="F13" s="40" t="inlineStr">
        <is>
          <t>UL</t>
        </is>
      </c>
      <c r="G13" s="9" t="inlineStr">
        <is>
          <t>Unscheduled Leave</t>
        </is>
      </c>
      <c r="H13" s="32" t="inlineStr">
        <is>
          <t>FCE4EC</t>
        </is>
      </c>
      <c r="I13" s="32" t="inlineStr">
        <is>
          <t>AD1457</t>
        </is>
      </c>
    </row>
    <row r="14">
      <c r="F14" s="41" t="inlineStr">
        <is>
          <t>VL</t>
        </is>
      </c>
      <c r="G14" s="11" t="inlineStr">
        <is>
          <t>Vacation Leave</t>
        </is>
      </c>
      <c r="H14" s="35" t="inlineStr">
        <is>
          <t>E0F7FA</t>
        </is>
      </c>
      <c r="I14" s="35" t="inlineStr">
        <is>
          <t>00838F</t>
        </is>
      </c>
    </row>
    <row r="15">
      <c r="F15" s="42" t="inlineStr">
        <is>
          <t>SL</t>
        </is>
      </c>
      <c r="G15" s="9" t="inlineStr">
        <is>
          <t>Sick Leave</t>
        </is>
      </c>
      <c r="H15" s="32" t="inlineStr">
        <is>
          <t>FFEBEE</t>
        </is>
      </c>
      <c r="I15" s="32" t="inlineStr">
        <is>
          <t>C62828</t>
        </is>
      </c>
    </row>
    <row r="16">
      <c r="B16" s="29" t="inlineStr">
        <is>
          <t>DEPARTMENTS</t>
        </is>
      </c>
      <c r="C16" s="29" t="inlineStr">
        <is>
          <t>DESIGNATIONS</t>
        </is>
      </c>
      <c r="D16" s="29" t="inlineStr">
        <is>
          <t>EMPLOYMENT TYPE</t>
        </is>
      </c>
      <c r="F16" s="29" t="inlineStr">
        <is>
          <t>SHIFT ELIGIBILITY</t>
        </is>
      </c>
      <c r="G16" s="29" t="inlineStr">
        <is>
          <t>LEAVE TYPES</t>
        </is>
      </c>
      <c r="H16" s="29" t="inlineStr">
        <is>
          <t>LEAVE STATUS</t>
        </is>
      </c>
      <c r="I16" s="29" t="inlineStr">
        <is>
          <t>EMPLOYEE STATUS</t>
        </is>
      </c>
    </row>
    <row r="17">
      <c r="B17" s="9" t="inlineStr">
        <is>
          <t>Hematology</t>
        </is>
      </c>
      <c r="C17" s="9" t="inlineStr">
        <is>
          <t>Lab Manager</t>
        </is>
      </c>
      <c r="D17" s="9" t="inlineStr">
        <is>
          <t>Permanent</t>
        </is>
      </c>
      <c r="F17" s="9" t="inlineStr">
        <is>
          <t>All Shifts</t>
        </is>
      </c>
      <c r="G17" s="9" t="inlineStr">
        <is>
          <t>Planned Leave</t>
        </is>
      </c>
      <c r="H17" s="9" t="inlineStr">
        <is>
          <t>Pending</t>
        </is>
      </c>
      <c r="I17" s="9" t="inlineStr">
        <is>
          <t>Active</t>
        </is>
      </c>
    </row>
    <row r="18">
      <c r="B18" s="11" t="inlineStr">
        <is>
          <t>Biochemistry</t>
        </is>
      </c>
      <c r="C18" s="11" t="inlineStr">
        <is>
          <t>Pathologist</t>
        </is>
      </c>
      <c r="D18" s="11" t="inlineStr">
        <is>
          <t>Contract</t>
        </is>
      </c>
      <c r="F18" s="11" t="inlineStr">
        <is>
          <t>Morning Only</t>
        </is>
      </c>
      <c r="G18" s="11" t="inlineStr">
        <is>
          <t>Unplanned Leave</t>
        </is>
      </c>
      <c r="H18" s="11" t="inlineStr">
        <is>
          <t>Approved</t>
        </is>
      </c>
      <c r="I18" s="11" t="inlineStr">
        <is>
          <t>Inactive</t>
        </is>
      </c>
    </row>
    <row r="19">
      <c r="B19" s="9" t="inlineStr">
        <is>
          <t>Microbiology</t>
        </is>
      </c>
      <c r="C19" s="9" t="inlineStr">
        <is>
          <t>Senior Lab Technologist</t>
        </is>
      </c>
      <c r="D19" s="9" t="inlineStr">
        <is>
          <t>Trainee</t>
        </is>
      </c>
      <c r="F19" s="9" t="inlineStr">
        <is>
          <t>Morning/Evening</t>
        </is>
      </c>
      <c r="G19" s="9" t="inlineStr">
        <is>
          <t>Sick Leave</t>
        </is>
      </c>
      <c r="H19" s="9" t="inlineStr">
        <is>
          <t>Rejected</t>
        </is>
      </c>
    </row>
    <row r="20">
      <c r="B20" s="11" t="inlineStr">
        <is>
          <t>Histopathology</t>
        </is>
      </c>
      <c r="C20" s="11" t="inlineStr">
        <is>
          <t>Lab Technologist</t>
        </is>
      </c>
      <c r="D20" s="11" t="inlineStr">
        <is>
          <t>Part-time</t>
        </is>
      </c>
      <c r="F20" s="11" t="inlineStr">
        <is>
          <t>Night Eligible</t>
        </is>
      </c>
      <c r="G20" s="11" t="inlineStr">
        <is>
          <t>Vacation Leave</t>
        </is>
      </c>
      <c r="H20" s="11" t="inlineStr">
        <is>
          <t>Cancelled</t>
        </is>
      </c>
    </row>
    <row r="21">
      <c r="B21" s="9" t="inlineStr">
        <is>
          <t>Phlebotomy</t>
        </is>
      </c>
      <c r="C21" s="9" t="inlineStr">
        <is>
          <t>Lab Assistant</t>
        </is>
      </c>
    </row>
    <row r="22">
      <c r="B22" s="11" t="inlineStr">
        <is>
          <t>Sample Receiving</t>
        </is>
      </c>
      <c r="C22" s="11" t="inlineStr">
        <is>
          <t>Phlebotomist</t>
        </is>
      </c>
    </row>
    <row r="23">
      <c r="B23" s="9" t="inlineStr">
        <is>
          <t>Quality Assurance</t>
        </is>
      </c>
      <c r="C23" s="9" t="inlineStr">
        <is>
          <t>QA Officer</t>
        </is>
      </c>
    </row>
    <row r="24">
      <c r="B24" s="11" t="inlineStr">
        <is>
          <t>Administration</t>
        </is>
      </c>
      <c r="C24" s="11" t="inlineStr">
        <is>
          <t>Receptionist</t>
        </is>
      </c>
    </row>
    <row r="27">
      <c r="B27" s="29" t="inlineStr">
        <is>
          <t>PUBLIC HOLIDAYS (update annually)</t>
        </is>
      </c>
      <c r="C27" s="29" t="n"/>
      <c r="D27" s="29" t="n"/>
      <c r="F27" s="29" t="inlineStr">
        <is>
          <t>LEAVE POLICY (annual entitlement days)</t>
        </is>
      </c>
      <c r="G27" s="29" t="n"/>
      <c r="H27" s="29" t="n"/>
      <c r="I27" s="29" t="n"/>
    </row>
    <row r="28">
      <c r="B28" s="7" t="inlineStr">
        <is>
          <t>Date</t>
        </is>
      </c>
      <c r="C28" s="7" t="inlineStr">
        <is>
          <t>Holiday Name</t>
        </is>
      </c>
      <c r="D28" s="7" t="inlineStr">
        <is>
          <t>Applies</t>
        </is>
      </c>
      <c r="F28" s="7" t="inlineStr">
        <is>
          <t>Leave Type</t>
        </is>
      </c>
      <c r="G28" s="7" t="inlineStr">
        <is>
          <t>Annual Days</t>
        </is>
      </c>
      <c r="H28" s="7" t="inlineStr">
        <is>
          <t>Carry Forward</t>
        </is>
      </c>
      <c r="I28" s="7" t="inlineStr">
        <is>
          <t>Notes</t>
        </is>
      </c>
    </row>
    <row r="29">
      <c r="B29" s="43" t="n">
        <v>46048</v>
      </c>
      <c r="C29" s="9" t="inlineStr">
        <is>
          <t>Republic Day</t>
        </is>
      </c>
      <c r="D29" s="30" t="inlineStr">
        <is>
          <t>Yes</t>
        </is>
      </c>
      <c r="F29" s="9" t="inlineStr">
        <is>
          <t>Planned Leave</t>
        </is>
      </c>
      <c r="G29" s="30" t="n">
        <v>12</v>
      </c>
      <c r="H29" s="30" t="inlineStr">
        <is>
          <t>Max 5</t>
        </is>
      </c>
      <c r="I29" s="9" t="inlineStr">
        <is>
          <t>Requires prior approval</t>
        </is>
      </c>
    </row>
    <row r="30">
      <c r="B30" s="44" t="n">
        <v>46095</v>
      </c>
      <c r="C30" s="11" t="inlineStr">
        <is>
          <t>Holi</t>
        </is>
      </c>
      <c r="D30" s="33" t="inlineStr">
        <is>
          <t>Yes</t>
        </is>
      </c>
      <c r="F30" s="11" t="inlineStr">
        <is>
          <t>Unplanned Leave</t>
        </is>
      </c>
      <c r="G30" s="33" t="n">
        <v>6</v>
      </c>
      <c r="H30" s="33" t="inlineStr">
        <is>
          <t>No</t>
        </is>
      </c>
      <c r="I30" s="11" t="inlineStr">
        <is>
          <t>Inform same day</t>
        </is>
      </c>
    </row>
    <row r="31">
      <c r="B31" s="43" t="n">
        <v>46249</v>
      </c>
      <c r="C31" s="9" t="inlineStr">
        <is>
          <t>Independence Day</t>
        </is>
      </c>
      <c r="D31" s="30" t="inlineStr">
        <is>
          <t>Yes</t>
        </is>
      </c>
      <c r="F31" s="9" t="inlineStr">
        <is>
          <t>Sick Leave</t>
        </is>
      </c>
      <c r="G31" s="30" t="n">
        <v>10</v>
      </c>
      <c r="H31" s="30" t="inlineStr">
        <is>
          <t>No</t>
        </is>
      </c>
      <c r="I31" s="9" t="inlineStr">
        <is>
          <t>Medical certificate &gt; 2 days</t>
        </is>
      </c>
    </row>
    <row r="32">
      <c r="B32" s="44" t="n">
        <v>46297</v>
      </c>
      <c r="C32" s="11" t="inlineStr">
        <is>
          <t>Gandhi Jayanti</t>
        </is>
      </c>
      <c r="D32" s="33" t="inlineStr">
        <is>
          <t>Yes</t>
        </is>
      </c>
      <c r="F32" s="11" t="inlineStr">
        <is>
          <t>Vacation Leave</t>
        </is>
      </c>
      <c r="G32" s="33" t="n">
        <v>15</v>
      </c>
      <c r="H32" s="33" t="inlineStr">
        <is>
          <t>Max 7</t>
        </is>
      </c>
      <c r="I32" s="11" t="inlineStr">
        <is>
          <t>Plan 15 days ahead</t>
        </is>
      </c>
    </row>
    <row r="33">
      <c r="B33" s="43" t="n">
        <v>46315</v>
      </c>
      <c r="C33" s="9" t="inlineStr">
        <is>
          <t>Diwali</t>
        </is>
      </c>
      <c r="D33" s="30" t="inlineStr">
        <is>
          <t>Yes</t>
        </is>
      </c>
    </row>
    <row r="34">
      <c r="B34" s="44" t="n">
        <v>46381</v>
      </c>
      <c r="C34" s="11" t="inlineStr">
        <is>
          <t>Christmas</t>
        </is>
      </c>
      <c r="D34" s="33" t="inlineStr">
        <is>
          <t>Yes</t>
        </is>
      </c>
    </row>
  </sheetData>
  <mergeCells count="7">
    <mergeCell ref="A1:J1"/>
    <mergeCell ref="B5:D5"/>
    <mergeCell ref="F27:I27"/>
    <mergeCell ref="A3:J3"/>
    <mergeCell ref="B27:D27"/>
    <mergeCell ref="A2:J2"/>
    <mergeCell ref="F5:I5"/>
  </mergeCells>
  <pageMargins left="0.4" right="0.4" top="0.5" bottom="0.5" header="0.2" footer="0.2"/>
  <pageSetup orientation="landscape" paperSize="9" fitToHeight="0" fitToWidth="1"/>
</worksheet>
</file>

<file path=xl/worksheets/sheet3.xml><?xml version="1.0" encoding="utf-8"?>
<worksheet xmlns="http://schemas.openxmlformats.org/spreadsheetml/2006/main">
  <sheetPr>
    <tabColor rgb="001B7A4E"/>
    <outlinePr summaryBelow="1" summaryRight="1"/>
    <pageSetUpPr fitToPage="1"/>
  </sheetPr>
  <dimension ref="A1:L47"/>
  <sheetViews>
    <sheetView showGridLines="0" zoomScale="9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4" customWidth="1" min="3" max="3"/>
    <col width="18" customWidth="1" min="4" max="4"/>
    <col width="20" customWidth="1" min="5" max="5"/>
    <col width="14" customWidth="1" min="6" max="6"/>
    <col width="14" customWidth="1" min="7" max="7"/>
    <col width="16" customWidth="1" min="8" max="8"/>
    <col width="14" customWidth="1" min="9" max="9"/>
    <col width="30" customWidth="1" min="10" max="10"/>
    <col width="32" customWidth="1" min="11" max="11"/>
    <col width="10" customWidth="1" min="12" max="12"/>
  </cols>
  <sheetData>
    <row r="1" ht="16" customHeight="1">
      <c r="A1" s="1" t="inlineStr">
        <is>
          <t>PATHCARE DIAGNOSTICS  ·  Pathology Laboratory</t>
        </is>
      </c>
      <c r="B1" s="2" t="n"/>
      <c r="C1" s="2" t="n"/>
      <c r="D1" s="2" t="n"/>
      <c r="E1" s="2" t="n"/>
      <c r="F1" s="2" t="n"/>
      <c r="G1" s="2" t="n"/>
      <c r="H1" s="2" t="n"/>
      <c r="I1" s="2" t="n"/>
      <c r="J1" s="2" t="n"/>
      <c r="K1" s="2" t="n"/>
      <c r="L1" s="2" t="n"/>
    </row>
    <row r="2" ht="26" customHeight="1">
      <c r="A2" s="3" t="inlineStr">
        <is>
          <t>EMPLOYEE MASTER REGISTER</t>
        </is>
      </c>
      <c r="B2" s="2" t="n"/>
      <c r="C2" s="2" t="n"/>
      <c r="D2" s="2" t="n"/>
      <c r="E2" s="2" t="n"/>
      <c r="F2" s="2" t="n"/>
      <c r="G2" s="2" t="n"/>
      <c r="H2" s="2" t="n"/>
      <c r="I2" s="2" t="n"/>
      <c r="J2" s="2" t="n"/>
      <c r="K2" s="2" t="n"/>
      <c r="L2" s="2" t="n"/>
    </row>
    <row r="3" ht="18" customHeight="1">
      <c r="A3" s="4" t="inlineStr">
        <is>
          <t>Single source of truth  ·  Roster, Attendance, Leave &amp; Dashboard reference this sheet</t>
        </is>
      </c>
      <c r="B3" s="2" t="n"/>
      <c r="C3" s="2" t="n"/>
      <c r="D3" s="2" t="n"/>
      <c r="E3" s="2" t="n"/>
      <c r="F3" s="2" t="n"/>
      <c r="G3" s="2" t="n"/>
      <c r="H3" s="2" t="n"/>
      <c r="I3" s="2" t="n"/>
      <c r="J3" s="2" t="n"/>
      <c r="K3" s="2" t="n"/>
      <c r="L3" s="2" t="n"/>
    </row>
    <row r="5" ht="28" customHeight="1">
      <c r="A5" s="29" t="inlineStr">
        <is>
          <t>Employee ID</t>
        </is>
      </c>
      <c r="B5" s="29" t="inlineStr">
        <is>
          <t>Employee Name</t>
        </is>
      </c>
      <c r="C5" s="29" t="inlineStr">
        <is>
          <t>Designation</t>
        </is>
      </c>
      <c r="D5" s="29" t="inlineStr">
        <is>
          <t>Department</t>
        </is>
      </c>
      <c r="E5" s="29" t="inlineStr">
        <is>
          <t>Reporting Manager</t>
        </is>
      </c>
      <c r="F5" s="29" t="inlineStr">
        <is>
          <t>Date of Joining</t>
        </is>
      </c>
      <c r="G5" s="29" t="inlineStr">
        <is>
          <t>Employment Type</t>
        </is>
      </c>
      <c r="H5" s="29" t="inlineStr">
        <is>
          <t>Shift Eligibility</t>
        </is>
      </c>
      <c r="I5" s="29" t="inlineStr">
        <is>
          <t>Contact Number</t>
        </is>
      </c>
      <c r="J5" s="29" t="inlineStr">
        <is>
          <t>Email ID</t>
        </is>
      </c>
      <c r="K5" s="29" t="inlineStr">
        <is>
          <t>Emergency Contact</t>
        </is>
      </c>
      <c r="L5" s="29" t="inlineStr">
        <is>
          <t>Status</t>
        </is>
      </c>
    </row>
    <row r="6">
      <c r="A6" s="30" t="inlineStr">
        <is>
          <t>PL-001</t>
        </is>
      </c>
      <c r="B6" s="9" t="inlineStr">
        <is>
          <t>Dr. Ananya Mehta</t>
        </is>
      </c>
      <c r="C6" s="9" t="inlineStr">
        <is>
          <t>Pathologist</t>
        </is>
      </c>
      <c r="D6" s="9" t="inlineStr">
        <is>
          <t>Histopathology</t>
        </is>
      </c>
      <c r="E6" s="9" t="inlineStr">
        <is>
          <t>Lab Director</t>
        </is>
      </c>
      <c r="F6" s="43" t="n">
        <v>43536</v>
      </c>
      <c r="G6" s="30" t="inlineStr">
        <is>
          <t>Permanent</t>
        </is>
      </c>
      <c r="H6" s="30" t="inlineStr">
        <is>
          <t>Morning Only</t>
        </is>
      </c>
      <c r="I6" s="30" t="inlineStr">
        <is>
          <t>9876543210</t>
        </is>
      </c>
      <c r="J6" s="9" t="inlineStr">
        <is>
          <t>ananya.mehta@pathlab.example</t>
        </is>
      </c>
      <c r="K6" s="9" t="inlineStr">
        <is>
          <t>Rajesh Mehta — 9876500001</t>
        </is>
      </c>
      <c r="L6" s="30" t="inlineStr">
        <is>
          <t>Active</t>
        </is>
      </c>
    </row>
    <row r="7">
      <c r="A7" s="33" t="inlineStr">
        <is>
          <t>PL-002</t>
        </is>
      </c>
      <c r="B7" s="11" t="inlineStr">
        <is>
          <t>Vikram Singh</t>
        </is>
      </c>
      <c r="C7" s="11" t="inlineStr">
        <is>
          <t>Lab Manager</t>
        </is>
      </c>
      <c r="D7" s="11" t="inlineStr">
        <is>
          <t>Administration</t>
        </is>
      </c>
      <c r="E7" s="11" t="inlineStr">
        <is>
          <t>Lab Director</t>
        </is>
      </c>
      <c r="F7" s="44" t="n">
        <v>43252</v>
      </c>
      <c r="G7" s="33" t="inlineStr">
        <is>
          <t>Permanent</t>
        </is>
      </c>
      <c r="H7" s="33" t="inlineStr">
        <is>
          <t>All Shifts</t>
        </is>
      </c>
      <c r="I7" s="33" t="inlineStr">
        <is>
          <t>9876543211</t>
        </is>
      </c>
      <c r="J7" s="11" t="inlineStr">
        <is>
          <t>vikram.singh@pathlab.example</t>
        </is>
      </c>
      <c r="K7" s="11" t="inlineStr">
        <is>
          <t>Priya Singh — 9876500002</t>
        </is>
      </c>
      <c r="L7" s="33" t="inlineStr">
        <is>
          <t>Active</t>
        </is>
      </c>
    </row>
    <row r="8">
      <c r="A8" s="30" t="inlineStr">
        <is>
          <t>PL-003</t>
        </is>
      </c>
      <c r="B8" s="9" t="inlineStr">
        <is>
          <t>Sneha Patel</t>
        </is>
      </c>
      <c r="C8" s="9" t="inlineStr">
        <is>
          <t>Senior Lab Technologist</t>
        </is>
      </c>
      <c r="D8" s="9" t="inlineStr">
        <is>
          <t>Hematology</t>
        </is>
      </c>
      <c r="E8" s="9" t="inlineStr">
        <is>
          <t>Vikram Singh</t>
        </is>
      </c>
      <c r="F8" s="43" t="n">
        <v>43845</v>
      </c>
      <c r="G8" s="30" t="inlineStr">
        <is>
          <t>Permanent</t>
        </is>
      </c>
      <c r="H8" s="30" t="inlineStr">
        <is>
          <t>All Shifts</t>
        </is>
      </c>
      <c r="I8" s="30" t="inlineStr">
        <is>
          <t>9876543212</t>
        </is>
      </c>
      <c r="J8" s="9" t="inlineStr">
        <is>
          <t>sneha.patel@pathlab.example</t>
        </is>
      </c>
      <c r="K8" s="9" t="inlineStr">
        <is>
          <t>Amit Patel — 9876500003</t>
        </is>
      </c>
      <c r="L8" s="30" t="inlineStr">
        <is>
          <t>Active</t>
        </is>
      </c>
    </row>
    <row r="9">
      <c r="A9" s="33" t="inlineStr">
        <is>
          <t>PL-004</t>
        </is>
      </c>
      <c r="B9" s="11" t="inlineStr">
        <is>
          <t>Rahul Nair</t>
        </is>
      </c>
      <c r="C9" s="11" t="inlineStr">
        <is>
          <t>Lab Technologist</t>
        </is>
      </c>
      <c r="D9" s="11" t="inlineStr">
        <is>
          <t>Hematology</t>
        </is>
      </c>
      <c r="E9" s="11" t="inlineStr">
        <is>
          <t>Sneha Patel</t>
        </is>
      </c>
      <c r="F9" s="44" t="n">
        <v>44428</v>
      </c>
      <c r="G9" s="33" t="inlineStr">
        <is>
          <t>Permanent</t>
        </is>
      </c>
      <c r="H9" s="33" t="inlineStr">
        <is>
          <t>All Shifts</t>
        </is>
      </c>
      <c r="I9" s="33" t="inlineStr">
        <is>
          <t>9876543213</t>
        </is>
      </c>
      <c r="J9" s="11" t="inlineStr">
        <is>
          <t>rahul.nair@pathlab.example</t>
        </is>
      </c>
      <c r="K9" s="11" t="inlineStr">
        <is>
          <t>Deepa Nair — 9876500004</t>
        </is>
      </c>
      <c r="L9" s="33" t="inlineStr">
        <is>
          <t>Active</t>
        </is>
      </c>
    </row>
    <row r="10">
      <c r="A10" s="30" t="inlineStr">
        <is>
          <t>PL-005</t>
        </is>
      </c>
      <c r="B10" s="9" t="inlineStr">
        <is>
          <t>Fatima Khan</t>
        </is>
      </c>
      <c r="C10" s="9" t="inlineStr">
        <is>
          <t>Lab Technologist</t>
        </is>
      </c>
      <c r="D10" s="9" t="inlineStr">
        <is>
          <t>Biochemistry</t>
        </is>
      </c>
      <c r="E10" s="9" t="inlineStr">
        <is>
          <t>Vikram Singh</t>
        </is>
      </c>
      <c r="F10" s="43" t="n">
        <v>44140</v>
      </c>
      <c r="G10" s="30" t="inlineStr">
        <is>
          <t>Permanent</t>
        </is>
      </c>
      <c r="H10" s="30" t="inlineStr">
        <is>
          <t>Morning/Evening</t>
        </is>
      </c>
      <c r="I10" s="30" t="inlineStr">
        <is>
          <t>9876543214</t>
        </is>
      </c>
      <c r="J10" s="9" t="inlineStr">
        <is>
          <t>fatima.khan@pathlab.example</t>
        </is>
      </c>
      <c r="K10" s="9" t="inlineStr">
        <is>
          <t>Imran Khan — 9876500005</t>
        </is>
      </c>
      <c r="L10" s="30" t="inlineStr">
        <is>
          <t>Active</t>
        </is>
      </c>
    </row>
    <row r="11">
      <c r="A11" s="33" t="inlineStr">
        <is>
          <t>PL-006</t>
        </is>
      </c>
      <c r="B11" s="11" t="inlineStr">
        <is>
          <t>Arjun Reddy</t>
        </is>
      </c>
      <c r="C11" s="11" t="inlineStr">
        <is>
          <t>Lab Technologist</t>
        </is>
      </c>
      <c r="D11" s="11" t="inlineStr">
        <is>
          <t>Biochemistry</t>
        </is>
      </c>
      <c r="E11" s="11" t="inlineStr">
        <is>
          <t>Fatima Khan</t>
        </is>
      </c>
      <c r="F11" s="44" t="n">
        <v>44606</v>
      </c>
      <c r="G11" s="33" t="inlineStr">
        <is>
          <t>Permanent</t>
        </is>
      </c>
      <c r="H11" s="33" t="inlineStr">
        <is>
          <t>All Shifts</t>
        </is>
      </c>
      <c r="I11" s="33" t="inlineStr">
        <is>
          <t>9876543215</t>
        </is>
      </c>
      <c r="J11" s="11" t="inlineStr">
        <is>
          <t>arjun.reddy@pathlab.example</t>
        </is>
      </c>
      <c r="K11" s="11" t="inlineStr">
        <is>
          <t>Kavitha Reddy — 9876500006</t>
        </is>
      </c>
      <c r="L11" s="33" t="inlineStr">
        <is>
          <t>Active</t>
        </is>
      </c>
    </row>
    <row r="12">
      <c r="A12" s="30" t="inlineStr">
        <is>
          <t>PL-007</t>
        </is>
      </c>
      <c r="B12" s="9" t="inlineStr">
        <is>
          <t>Meera Iyer</t>
        </is>
      </c>
      <c r="C12" s="9" t="inlineStr">
        <is>
          <t>Senior Lab Technologist</t>
        </is>
      </c>
      <c r="D12" s="9" t="inlineStr">
        <is>
          <t>Microbiology</t>
        </is>
      </c>
      <c r="E12" s="9" t="inlineStr">
        <is>
          <t>Vikram Singh</t>
        </is>
      </c>
      <c r="F12" s="43" t="n">
        <v>43709</v>
      </c>
      <c r="G12" s="30" t="inlineStr">
        <is>
          <t>Permanent</t>
        </is>
      </c>
      <c r="H12" s="30" t="inlineStr">
        <is>
          <t>Morning/Evening</t>
        </is>
      </c>
      <c r="I12" s="30" t="inlineStr">
        <is>
          <t>9876543216</t>
        </is>
      </c>
      <c r="J12" s="9" t="inlineStr">
        <is>
          <t>meera.iyer@pathlab.example</t>
        </is>
      </c>
      <c r="K12" s="9" t="inlineStr">
        <is>
          <t>Suresh Iyer — 9876500007</t>
        </is>
      </c>
      <c r="L12" s="30" t="inlineStr">
        <is>
          <t>Active</t>
        </is>
      </c>
    </row>
    <row r="13">
      <c r="A13" s="33" t="inlineStr">
        <is>
          <t>PL-008</t>
        </is>
      </c>
      <c r="B13" s="11" t="inlineStr">
        <is>
          <t>Karan Malhotra</t>
        </is>
      </c>
      <c r="C13" s="11" t="inlineStr">
        <is>
          <t>Lab Technologist</t>
        </is>
      </c>
      <c r="D13" s="11" t="inlineStr">
        <is>
          <t>Microbiology</t>
        </is>
      </c>
      <c r="E13" s="11" t="inlineStr">
        <is>
          <t>Meera Iyer</t>
        </is>
      </c>
      <c r="F13" s="44" t="n">
        <v>45026</v>
      </c>
      <c r="G13" s="33" t="inlineStr">
        <is>
          <t>Contract</t>
        </is>
      </c>
      <c r="H13" s="33" t="inlineStr">
        <is>
          <t>All Shifts</t>
        </is>
      </c>
      <c r="I13" s="33" t="inlineStr">
        <is>
          <t>9876543217</t>
        </is>
      </c>
      <c r="J13" s="11" t="inlineStr">
        <is>
          <t>karan.malhotra@pathlab.example</t>
        </is>
      </c>
      <c r="K13" s="11" t="inlineStr">
        <is>
          <t>Neha Malhotra — 9876500008</t>
        </is>
      </c>
      <c r="L13" s="33" t="inlineStr">
        <is>
          <t>Active</t>
        </is>
      </c>
    </row>
    <row r="14">
      <c r="A14" s="30" t="inlineStr">
        <is>
          <t>PL-009</t>
        </is>
      </c>
      <c r="B14" s="9" t="inlineStr">
        <is>
          <t>Pooja Sharma</t>
        </is>
      </c>
      <c r="C14" s="9" t="inlineStr">
        <is>
          <t>Lab Assistant</t>
        </is>
      </c>
      <c r="D14" s="9" t="inlineStr">
        <is>
          <t>Histopathology</t>
        </is>
      </c>
      <c r="E14" s="9" t="inlineStr">
        <is>
          <t>Dr. Ananya Mehta</t>
        </is>
      </c>
      <c r="F14" s="43" t="n">
        <v>44334</v>
      </c>
      <c r="G14" s="30" t="inlineStr">
        <is>
          <t>Permanent</t>
        </is>
      </c>
      <c r="H14" s="30" t="inlineStr">
        <is>
          <t>Morning Only</t>
        </is>
      </c>
      <c r="I14" s="30" t="inlineStr">
        <is>
          <t>9876543218</t>
        </is>
      </c>
      <c r="J14" s="9" t="inlineStr">
        <is>
          <t>pooja.sharma@pathlab.example</t>
        </is>
      </c>
      <c r="K14" s="9" t="inlineStr">
        <is>
          <t>Ravi Sharma — 9876500009</t>
        </is>
      </c>
      <c r="L14" s="30" t="inlineStr">
        <is>
          <t>Active</t>
        </is>
      </c>
    </row>
    <row r="15">
      <c r="A15" s="33" t="inlineStr">
        <is>
          <t>PL-010</t>
        </is>
      </c>
      <c r="B15" s="11" t="inlineStr">
        <is>
          <t>Mohammed Irfan</t>
        </is>
      </c>
      <c r="C15" s="11" t="inlineStr">
        <is>
          <t>Phlebotomist</t>
        </is>
      </c>
      <c r="D15" s="11" t="inlineStr">
        <is>
          <t>Phlebotomy</t>
        </is>
      </c>
      <c r="E15" s="11" t="inlineStr">
        <is>
          <t>Vikram Singh</t>
        </is>
      </c>
      <c r="F15" s="44" t="n">
        <v>44743</v>
      </c>
      <c r="G15" s="33" t="inlineStr">
        <is>
          <t>Permanent</t>
        </is>
      </c>
      <c r="H15" s="33" t="inlineStr">
        <is>
          <t>Morning/Evening</t>
        </is>
      </c>
      <c r="I15" s="33" t="inlineStr">
        <is>
          <t>9876543219</t>
        </is>
      </c>
      <c r="J15" s="11" t="inlineStr">
        <is>
          <t>m.irfan@pathlab.example</t>
        </is>
      </c>
      <c r="K15" s="11" t="inlineStr">
        <is>
          <t>Ayesha Irfan — 9876500010</t>
        </is>
      </c>
      <c r="L15" s="33" t="inlineStr">
        <is>
          <t>Active</t>
        </is>
      </c>
    </row>
    <row r="16">
      <c r="A16" s="30" t="inlineStr">
        <is>
          <t>PL-011</t>
        </is>
      </c>
      <c r="B16" s="9" t="inlineStr">
        <is>
          <t>Lakshmi Devi</t>
        </is>
      </c>
      <c r="C16" s="9" t="inlineStr">
        <is>
          <t>Phlebotomist</t>
        </is>
      </c>
      <c r="D16" s="9" t="inlineStr">
        <is>
          <t>Phlebotomy</t>
        </is>
      </c>
      <c r="E16" s="9" t="inlineStr">
        <is>
          <t>Vikram Singh</t>
        </is>
      </c>
      <c r="F16" s="43" t="n">
        <v>43912</v>
      </c>
      <c r="G16" s="30" t="inlineStr">
        <is>
          <t>Permanent</t>
        </is>
      </c>
      <c r="H16" s="30" t="inlineStr">
        <is>
          <t>Morning Only</t>
        </is>
      </c>
      <c r="I16" s="30" t="inlineStr">
        <is>
          <t>9876543220</t>
        </is>
      </c>
      <c r="J16" s="9" t="inlineStr">
        <is>
          <t>lakshmi.devi@pathlab.example</t>
        </is>
      </c>
      <c r="K16" s="9" t="inlineStr">
        <is>
          <t>Venkat Devi — 9876500011</t>
        </is>
      </c>
      <c r="L16" s="30" t="inlineStr">
        <is>
          <t>Active</t>
        </is>
      </c>
    </row>
    <row r="17">
      <c r="A17" s="33" t="inlineStr">
        <is>
          <t>PL-012</t>
        </is>
      </c>
      <c r="B17" s="11" t="inlineStr">
        <is>
          <t>Suresh Kumar</t>
        </is>
      </c>
      <c r="C17" s="11" t="inlineStr">
        <is>
          <t>Lab Assistant</t>
        </is>
      </c>
      <c r="D17" s="11" t="inlineStr">
        <is>
          <t>Sample Receiving</t>
        </is>
      </c>
      <c r="E17" s="11" t="inlineStr">
        <is>
          <t>Vikram Singh</t>
        </is>
      </c>
      <c r="F17" s="44" t="n">
        <v>44536</v>
      </c>
      <c r="G17" s="33" t="inlineStr">
        <is>
          <t>Permanent</t>
        </is>
      </c>
      <c r="H17" s="33" t="inlineStr">
        <is>
          <t>All Shifts</t>
        </is>
      </c>
      <c r="I17" s="33" t="inlineStr">
        <is>
          <t>9876543221</t>
        </is>
      </c>
      <c r="J17" s="11" t="inlineStr">
        <is>
          <t>suresh.kumar@pathlab.example</t>
        </is>
      </c>
      <c r="K17" s="11" t="inlineStr">
        <is>
          <t>Anita Kumar — 9876500012</t>
        </is>
      </c>
      <c r="L17" s="33" t="inlineStr">
        <is>
          <t>Active</t>
        </is>
      </c>
    </row>
    <row r="18">
      <c r="A18" s="30" t="inlineStr">
        <is>
          <t>PL-013</t>
        </is>
      </c>
      <c r="B18" s="9" t="inlineStr">
        <is>
          <t>Nisha Gupta</t>
        </is>
      </c>
      <c r="C18" s="9" t="inlineStr">
        <is>
          <t>QA Officer</t>
        </is>
      </c>
      <c r="D18" s="9" t="inlineStr">
        <is>
          <t>Quality Assurance</t>
        </is>
      </c>
      <c r="E18" s="9" t="inlineStr">
        <is>
          <t>Vikram Singh</t>
        </is>
      </c>
      <c r="F18" s="43" t="n">
        <v>43661</v>
      </c>
      <c r="G18" s="30" t="inlineStr">
        <is>
          <t>Permanent</t>
        </is>
      </c>
      <c r="H18" s="30" t="inlineStr">
        <is>
          <t>Morning Only</t>
        </is>
      </c>
      <c r="I18" s="30" t="inlineStr">
        <is>
          <t>9876543222</t>
        </is>
      </c>
      <c r="J18" s="9" t="inlineStr">
        <is>
          <t>nisha.gupta@pathlab.example</t>
        </is>
      </c>
      <c r="K18" s="9" t="inlineStr">
        <is>
          <t>Anil Gupta — 9876500013</t>
        </is>
      </c>
      <c r="L18" s="30" t="inlineStr">
        <is>
          <t>Active</t>
        </is>
      </c>
    </row>
    <row r="19">
      <c r="A19" s="33" t="inlineStr">
        <is>
          <t>PL-014</t>
        </is>
      </c>
      <c r="B19" s="11" t="inlineStr">
        <is>
          <t>Deepak Joshi</t>
        </is>
      </c>
      <c r="C19" s="11" t="inlineStr">
        <is>
          <t>Lab Technologist</t>
        </is>
      </c>
      <c r="D19" s="11" t="inlineStr">
        <is>
          <t>Hematology</t>
        </is>
      </c>
      <c r="E19" s="11" t="inlineStr">
        <is>
          <t>Sneha Patel</t>
        </is>
      </c>
      <c r="F19" s="44" t="n">
        <v>45299</v>
      </c>
      <c r="G19" s="33" t="inlineStr">
        <is>
          <t>Trainee</t>
        </is>
      </c>
      <c r="H19" s="33" t="inlineStr">
        <is>
          <t>Morning/Evening</t>
        </is>
      </c>
      <c r="I19" s="33" t="inlineStr">
        <is>
          <t>9876543223</t>
        </is>
      </c>
      <c r="J19" s="11" t="inlineStr">
        <is>
          <t>deepak.joshi@pathlab.example</t>
        </is>
      </c>
      <c r="K19" s="11" t="inlineStr">
        <is>
          <t>Sunita Joshi — 9876500014</t>
        </is>
      </c>
      <c r="L19" s="33" t="inlineStr">
        <is>
          <t>Active</t>
        </is>
      </c>
    </row>
    <row r="20">
      <c r="A20" s="30" t="inlineStr">
        <is>
          <t>PL-015</t>
        </is>
      </c>
      <c r="B20" s="9" t="inlineStr">
        <is>
          <t>Anjali Verma</t>
        </is>
      </c>
      <c r="C20" s="9" t="inlineStr">
        <is>
          <t>Receptionist</t>
        </is>
      </c>
      <c r="D20" s="9" t="inlineStr">
        <is>
          <t>Administration</t>
        </is>
      </c>
      <c r="E20" s="9" t="inlineStr">
        <is>
          <t>Vikram Singh</t>
        </is>
      </c>
      <c r="F20" s="43" t="n">
        <v>44816</v>
      </c>
      <c r="G20" s="30" t="inlineStr">
        <is>
          <t>Permanent</t>
        </is>
      </c>
      <c r="H20" s="30" t="inlineStr">
        <is>
          <t>Morning Only</t>
        </is>
      </c>
      <c r="I20" s="30" t="inlineStr">
        <is>
          <t>9876543224</t>
        </is>
      </c>
      <c r="J20" s="9" t="inlineStr">
        <is>
          <t>anjali.verma@pathlab.example</t>
        </is>
      </c>
      <c r="K20" s="9" t="inlineStr">
        <is>
          <t>Rohit Verma — 9876500015</t>
        </is>
      </c>
      <c r="L20" s="30" t="inlineStr">
        <is>
          <t>Active</t>
        </is>
      </c>
    </row>
    <row r="21">
      <c r="A21" s="33" t="inlineStr">
        <is>
          <t>PL-016</t>
        </is>
      </c>
      <c r="B21" s="11" t="inlineStr">
        <is>
          <t>Ravi Teja</t>
        </is>
      </c>
      <c r="C21" s="11" t="inlineStr">
        <is>
          <t>Lab Technologist</t>
        </is>
      </c>
      <c r="D21" s="11" t="inlineStr">
        <is>
          <t>Biochemistry</t>
        </is>
      </c>
      <c r="E21" s="11" t="inlineStr">
        <is>
          <t>Fatima Khan</t>
        </is>
      </c>
      <c r="F21" s="44" t="n">
        <v>45097</v>
      </c>
      <c r="G21" s="33" t="inlineStr">
        <is>
          <t>Contract</t>
        </is>
      </c>
      <c r="H21" s="33" t="inlineStr">
        <is>
          <t>Night Eligible</t>
        </is>
      </c>
      <c r="I21" s="33" t="inlineStr">
        <is>
          <t>9876543225</t>
        </is>
      </c>
      <c r="J21" s="11" t="inlineStr">
        <is>
          <t>ravi.teja@pathlab.example</t>
        </is>
      </c>
      <c r="K21" s="11" t="inlineStr">
        <is>
          <t>Sita Teja — 9876500016</t>
        </is>
      </c>
      <c r="L21" s="33" t="inlineStr">
        <is>
          <t>Active</t>
        </is>
      </c>
    </row>
    <row r="22">
      <c r="A22" s="30" t="inlineStr">
        <is>
          <t>PL-017</t>
        </is>
      </c>
      <c r="B22" s="9" t="inlineStr">
        <is>
          <t>Geeta Rao</t>
        </is>
      </c>
      <c r="C22" s="9" t="inlineStr">
        <is>
          <t>Lab Assistant</t>
        </is>
      </c>
      <c r="D22" s="9" t="inlineStr">
        <is>
          <t>Microbiology</t>
        </is>
      </c>
      <c r="E22" s="9" t="inlineStr">
        <is>
          <t>Meera Iyer</t>
        </is>
      </c>
      <c r="F22" s="43" t="n">
        <v>44134</v>
      </c>
      <c r="G22" s="30" t="inlineStr">
        <is>
          <t>Permanent</t>
        </is>
      </c>
      <c r="H22" s="30" t="inlineStr">
        <is>
          <t>Morning/Evening</t>
        </is>
      </c>
      <c r="I22" s="30" t="inlineStr">
        <is>
          <t>9876543226</t>
        </is>
      </c>
      <c r="J22" s="9" t="inlineStr">
        <is>
          <t>geeta.rao@pathlab.example</t>
        </is>
      </c>
      <c r="K22" s="9" t="inlineStr">
        <is>
          <t>Mohan Rao — 9876500017</t>
        </is>
      </c>
      <c r="L22" s="30" t="inlineStr">
        <is>
          <t>Active</t>
        </is>
      </c>
    </row>
    <row r="23">
      <c r="A23" s="33" t="inlineStr">
        <is>
          <t>PL-018</t>
        </is>
      </c>
      <c r="B23" s="11" t="inlineStr">
        <is>
          <t>Imran Sheikh</t>
        </is>
      </c>
      <c r="C23" s="11" t="inlineStr">
        <is>
          <t>Phlebotomist</t>
        </is>
      </c>
      <c r="D23" s="11" t="inlineStr">
        <is>
          <t>Phlebotomy</t>
        </is>
      </c>
      <c r="E23" s="11" t="inlineStr">
        <is>
          <t>Vikram Singh</t>
        </is>
      </c>
      <c r="F23" s="44" t="n">
        <v>45352</v>
      </c>
      <c r="G23" s="33" t="inlineStr">
        <is>
          <t>Part-time</t>
        </is>
      </c>
      <c r="H23" s="33" t="inlineStr">
        <is>
          <t>Morning Only</t>
        </is>
      </c>
      <c r="I23" s="33" t="inlineStr">
        <is>
          <t>9876543227</t>
        </is>
      </c>
      <c r="J23" s="11" t="inlineStr">
        <is>
          <t>imran.sheikh@pathlab.example</t>
        </is>
      </c>
      <c r="K23" s="11" t="inlineStr">
        <is>
          <t>Farah Sheikh — 9876500018</t>
        </is>
      </c>
      <c r="L23" s="33" t="inlineStr">
        <is>
          <t>Active</t>
        </is>
      </c>
    </row>
    <row r="24">
      <c r="A24" s="30" t="inlineStr">
        <is>
          <t>PL-019</t>
        </is>
      </c>
      <c r="B24" s="9" t="inlineStr">
        <is>
          <t>Kavya Menon</t>
        </is>
      </c>
      <c r="C24" s="9" t="inlineStr">
        <is>
          <t>Lab Technologist</t>
        </is>
      </c>
      <c r="D24" s="9" t="inlineStr">
        <is>
          <t>Histopathology</t>
        </is>
      </c>
      <c r="E24" s="9" t="inlineStr">
        <is>
          <t>Dr. Ananya Mehta</t>
        </is>
      </c>
      <c r="F24" s="43" t="n">
        <v>44291</v>
      </c>
      <c r="G24" s="30" t="inlineStr">
        <is>
          <t>Permanent</t>
        </is>
      </c>
      <c r="H24" s="30" t="inlineStr">
        <is>
          <t>Morning Only</t>
        </is>
      </c>
      <c r="I24" s="30" t="inlineStr">
        <is>
          <t>9876543228</t>
        </is>
      </c>
      <c r="J24" s="9" t="inlineStr">
        <is>
          <t>kavya.menon@pathlab.example</t>
        </is>
      </c>
      <c r="K24" s="9" t="inlineStr">
        <is>
          <t>Arun Menon — 9876500019</t>
        </is>
      </c>
      <c r="L24" s="30" t="inlineStr">
        <is>
          <t>Active</t>
        </is>
      </c>
    </row>
    <row r="25">
      <c r="A25" s="45" t="inlineStr">
        <is>
          <t>PL-020</t>
        </is>
      </c>
      <c r="B25" s="46" t="inlineStr">
        <is>
          <t>Thomas Mathew</t>
        </is>
      </c>
      <c r="C25" s="46" t="inlineStr">
        <is>
          <t>Senior Lab Technologist</t>
        </is>
      </c>
      <c r="D25" s="46" t="inlineStr">
        <is>
          <t>Sample Receiving</t>
        </is>
      </c>
      <c r="E25" s="46" t="inlineStr">
        <is>
          <t>Vikram Singh</t>
        </is>
      </c>
      <c r="F25" s="47" t="n">
        <v>43423</v>
      </c>
      <c r="G25" s="45" t="inlineStr">
        <is>
          <t>Permanent</t>
        </is>
      </c>
      <c r="H25" s="45" t="inlineStr">
        <is>
          <t>All Shifts</t>
        </is>
      </c>
      <c r="I25" s="45" t="inlineStr">
        <is>
          <t>9876543229</t>
        </is>
      </c>
      <c r="J25" s="46" t="inlineStr">
        <is>
          <t>thomas.mathew@pathlab.example</t>
        </is>
      </c>
      <c r="K25" s="46" t="inlineStr">
        <is>
          <t>Mary Mathew — 9876500020</t>
        </is>
      </c>
      <c r="L25" s="45" t="inlineStr">
        <is>
          <t>Inactive</t>
        </is>
      </c>
    </row>
    <row r="26">
      <c r="A26" s="25" t="inlineStr"/>
      <c r="B26" s="25" t="inlineStr"/>
      <c r="C26" s="25" t="inlineStr"/>
      <c r="D26" s="25" t="inlineStr"/>
      <c r="E26" s="25" t="inlineStr"/>
      <c r="F26" s="25" t="inlineStr"/>
      <c r="G26" s="25" t="inlineStr"/>
      <c r="H26" s="25" t="inlineStr"/>
      <c r="I26" s="25" t="inlineStr"/>
      <c r="J26" s="25" t="inlineStr"/>
      <c r="K26" s="25" t="inlineStr"/>
      <c r="L26" s="25" t="inlineStr"/>
    </row>
    <row r="27">
      <c r="A27" s="27" t="inlineStr"/>
      <c r="B27" s="27" t="inlineStr"/>
      <c r="C27" s="27" t="inlineStr"/>
      <c r="D27" s="27" t="inlineStr"/>
      <c r="E27" s="27" t="inlineStr"/>
      <c r="F27" s="27" t="inlineStr"/>
      <c r="G27" s="27" t="inlineStr"/>
      <c r="H27" s="27" t="inlineStr"/>
      <c r="I27" s="27" t="inlineStr"/>
      <c r="J27" s="27" t="inlineStr"/>
      <c r="K27" s="27" t="inlineStr"/>
      <c r="L27" s="27" t="inlineStr"/>
    </row>
    <row r="28">
      <c r="A28" s="25" t="inlineStr"/>
      <c r="B28" s="25" t="inlineStr"/>
      <c r="C28" s="25" t="inlineStr"/>
      <c r="D28" s="25" t="inlineStr"/>
      <c r="E28" s="25" t="inlineStr"/>
      <c r="F28" s="25" t="inlineStr"/>
      <c r="G28" s="25" t="inlineStr"/>
      <c r="H28" s="25" t="inlineStr"/>
      <c r="I28" s="25" t="inlineStr"/>
      <c r="J28" s="25" t="inlineStr"/>
      <c r="K28" s="25" t="inlineStr"/>
      <c r="L28" s="25" t="inlineStr"/>
    </row>
    <row r="29">
      <c r="A29" s="27" t="inlineStr"/>
      <c r="B29" s="27" t="inlineStr"/>
      <c r="C29" s="27" t="inlineStr"/>
      <c r="D29" s="27" t="inlineStr"/>
      <c r="E29" s="27" t="inlineStr"/>
      <c r="F29" s="27" t="inlineStr"/>
      <c r="G29" s="27" t="inlineStr"/>
      <c r="H29" s="27" t="inlineStr"/>
      <c r="I29" s="27" t="inlineStr"/>
      <c r="J29" s="27" t="inlineStr"/>
      <c r="K29" s="27" t="inlineStr"/>
      <c r="L29" s="27" t="inlineStr"/>
    </row>
    <row r="30">
      <c r="A30" s="25" t="inlineStr"/>
      <c r="B30" s="25" t="inlineStr"/>
      <c r="C30" s="25" t="inlineStr"/>
      <c r="D30" s="25" t="inlineStr"/>
      <c r="E30" s="25" t="inlineStr"/>
      <c r="F30" s="25" t="inlineStr"/>
      <c r="G30" s="25" t="inlineStr"/>
      <c r="H30" s="25" t="inlineStr"/>
      <c r="I30" s="25" t="inlineStr"/>
      <c r="J30" s="25" t="inlineStr"/>
      <c r="K30" s="25" t="inlineStr"/>
      <c r="L30" s="25" t="inlineStr"/>
    </row>
    <row r="31">
      <c r="A31" s="27" t="inlineStr"/>
      <c r="B31" s="27" t="inlineStr"/>
      <c r="C31" s="27" t="inlineStr"/>
      <c r="D31" s="27" t="inlineStr"/>
      <c r="E31" s="27" t="inlineStr"/>
      <c r="F31" s="27" t="inlineStr"/>
      <c r="G31" s="27" t="inlineStr"/>
      <c r="H31" s="27" t="inlineStr"/>
      <c r="I31" s="27" t="inlineStr"/>
      <c r="J31" s="27" t="inlineStr"/>
      <c r="K31" s="27" t="inlineStr"/>
      <c r="L31" s="27" t="inlineStr"/>
    </row>
    <row r="32">
      <c r="A32" s="25" t="inlineStr"/>
      <c r="B32" s="25" t="inlineStr"/>
      <c r="C32" s="25" t="inlineStr"/>
      <c r="D32" s="25" t="inlineStr"/>
      <c r="E32" s="25" t="inlineStr"/>
      <c r="F32" s="25" t="inlineStr"/>
      <c r="G32" s="25" t="inlineStr"/>
      <c r="H32" s="25" t="inlineStr"/>
      <c r="I32" s="25" t="inlineStr"/>
      <c r="J32" s="25" t="inlineStr"/>
      <c r="K32" s="25" t="inlineStr"/>
      <c r="L32" s="25" t="inlineStr"/>
    </row>
    <row r="33">
      <c r="A33" s="27" t="inlineStr"/>
      <c r="B33" s="27" t="inlineStr"/>
      <c r="C33" s="27" t="inlineStr"/>
      <c r="D33" s="27" t="inlineStr"/>
      <c r="E33" s="27" t="inlineStr"/>
      <c r="F33" s="27" t="inlineStr"/>
      <c r="G33" s="27" t="inlineStr"/>
      <c r="H33" s="27" t="inlineStr"/>
      <c r="I33" s="27" t="inlineStr"/>
      <c r="J33" s="27" t="inlineStr"/>
      <c r="K33" s="27" t="inlineStr"/>
      <c r="L33" s="27" t="inlineStr"/>
    </row>
    <row r="34">
      <c r="A34" s="25" t="inlineStr"/>
      <c r="B34" s="25" t="inlineStr"/>
      <c r="C34" s="25" t="inlineStr"/>
      <c r="D34" s="25" t="inlineStr"/>
      <c r="E34" s="25" t="inlineStr"/>
      <c r="F34" s="25" t="inlineStr"/>
      <c r="G34" s="25" t="inlineStr"/>
      <c r="H34" s="25" t="inlineStr"/>
      <c r="I34" s="25" t="inlineStr"/>
      <c r="J34" s="25" t="inlineStr"/>
      <c r="K34" s="25" t="inlineStr"/>
      <c r="L34" s="25" t="inlineStr"/>
    </row>
    <row r="35">
      <c r="A35" s="27" t="inlineStr"/>
      <c r="B35" s="27" t="inlineStr"/>
      <c r="C35" s="27" t="inlineStr"/>
      <c r="D35" s="27" t="inlineStr"/>
      <c r="E35" s="27" t="inlineStr"/>
      <c r="F35" s="27" t="inlineStr"/>
      <c r="G35" s="27" t="inlineStr"/>
      <c r="H35" s="27" t="inlineStr"/>
      <c r="I35" s="27" t="inlineStr"/>
      <c r="J35" s="27" t="inlineStr"/>
      <c r="K35" s="27" t="inlineStr"/>
      <c r="L35" s="27" t="inlineStr"/>
    </row>
    <row r="36">
      <c r="A36" s="25" t="inlineStr"/>
      <c r="B36" s="25" t="inlineStr"/>
      <c r="C36" s="25" t="inlineStr"/>
      <c r="D36" s="25" t="inlineStr"/>
      <c r="E36" s="25" t="inlineStr"/>
      <c r="F36" s="25" t="inlineStr"/>
      <c r="G36" s="25" t="inlineStr"/>
      <c r="H36" s="25" t="inlineStr"/>
      <c r="I36" s="25" t="inlineStr"/>
      <c r="J36" s="25" t="inlineStr"/>
      <c r="K36" s="25" t="inlineStr"/>
      <c r="L36" s="25" t="inlineStr"/>
    </row>
    <row r="37">
      <c r="A37" s="27" t="inlineStr"/>
      <c r="B37" s="27" t="inlineStr"/>
      <c r="C37" s="27" t="inlineStr"/>
      <c r="D37" s="27" t="inlineStr"/>
      <c r="E37" s="27" t="inlineStr"/>
      <c r="F37" s="27" t="inlineStr"/>
      <c r="G37" s="27" t="inlineStr"/>
      <c r="H37" s="27" t="inlineStr"/>
      <c r="I37" s="27" t="inlineStr"/>
      <c r="J37" s="27" t="inlineStr"/>
      <c r="K37" s="27" t="inlineStr"/>
      <c r="L37" s="27" t="inlineStr"/>
    </row>
    <row r="38">
      <c r="A38" s="25" t="inlineStr"/>
      <c r="B38" s="25" t="inlineStr"/>
      <c r="C38" s="25" t="inlineStr"/>
      <c r="D38" s="25" t="inlineStr"/>
      <c r="E38" s="25" t="inlineStr"/>
      <c r="F38" s="25" t="inlineStr"/>
      <c r="G38" s="25" t="inlineStr"/>
      <c r="H38" s="25" t="inlineStr"/>
      <c r="I38" s="25" t="inlineStr"/>
      <c r="J38" s="25" t="inlineStr"/>
      <c r="K38" s="25" t="inlineStr"/>
      <c r="L38" s="25" t="inlineStr"/>
    </row>
    <row r="39">
      <c r="A39" s="27" t="inlineStr"/>
      <c r="B39" s="27" t="inlineStr"/>
      <c r="C39" s="27" t="inlineStr"/>
      <c r="D39" s="27" t="inlineStr"/>
      <c r="E39" s="27" t="inlineStr"/>
      <c r="F39" s="27" t="inlineStr"/>
      <c r="G39" s="27" t="inlineStr"/>
      <c r="H39" s="27" t="inlineStr"/>
      <c r="I39" s="27" t="inlineStr"/>
      <c r="J39" s="27" t="inlineStr"/>
      <c r="K39" s="27" t="inlineStr"/>
      <c r="L39" s="27" t="inlineStr"/>
    </row>
    <row r="40">
      <c r="A40" s="25" t="inlineStr"/>
      <c r="B40" s="25" t="inlineStr"/>
      <c r="C40" s="25" t="inlineStr"/>
      <c r="D40" s="25" t="inlineStr"/>
      <c r="E40" s="25" t="inlineStr"/>
      <c r="F40" s="25" t="inlineStr"/>
      <c r="G40" s="25" t="inlineStr"/>
      <c r="H40" s="25" t="inlineStr"/>
      <c r="I40" s="25" t="inlineStr"/>
      <c r="J40" s="25" t="inlineStr"/>
      <c r="K40" s="25" t="inlineStr"/>
      <c r="L40" s="25" t="inlineStr"/>
    </row>
    <row r="41">
      <c r="A41" s="27" t="inlineStr"/>
      <c r="B41" s="27" t="inlineStr"/>
      <c r="C41" s="27" t="inlineStr"/>
      <c r="D41" s="27" t="inlineStr"/>
      <c r="E41" s="27" t="inlineStr"/>
      <c r="F41" s="27" t="inlineStr"/>
      <c r="G41" s="27" t="inlineStr"/>
      <c r="H41" s="27" t="inlineStr"/>
      <c r="I41" s="27" t="inlineStr"/>
      <c r="J41" s="27" t="inlineStr"/>
      <c r="K41" s="27" t="inlineStr"/>
      <c r="L41" s="27" t="inlineStr"/>
    </row>
    <row r="42">
      <c r="A42" s="25" t="inlineStr"/>
      <c r="B42" s="25" t="inlineStr"/>
      <c r="C42" s="25" t="inlineStr"/>
      <c r="D42" s="25" t="inlineStr"/>
      <c r="E42" s="25" t="inlineStr"/>
      <c r="F42" s="25" t="inlineStr"/>
      <c r="G42" s="25" t="inlineStr"/>
      <c r="H42" s="25" t="inlineStr"/>
      <c r="I42" s="25" t="inlineStr"/>
      <c r="J42" s="25" t="inlineStr"/>
      <c r="K42" s="25" t="inlineStr"/>
      <c r="L42" s="25" t="inlineStr"/>
    </row>
    <row r="43">
      <c r="A43" s="27" t="inlineStr"/>
      <c r="B43" s="27" t="inlineStr"/>
      <c r="C43" s="27" t="inlineStr"/>
      <c r="D43" s="27" t="inlineStr"/>
      <c r="E43" s="27" t="inlineStr"/>
      <c r="F43" s="27" t="inlineStr"/>
      <c r="G43" s="27" t="inlineStr"/>
      <c r="H43" s="27" t="inlineStr"/>
      <c r="I43" s="27" t="inlineStr"/>
      <c r="J43" s="27" t="inlineStr"/>
      <c r="K43" s="27" t="inlineStr"/>
      <c r="L43" s="27" t="inlineStr"/>
    </row>
    <row r="44">
      <c r="A44" s="25" t="inlineStr"/>
      <c r="B44" s="25" t="inlineStr"/>
      <c r="C44" s="25" t="inlineStr"/>
      <c r="D44" s="25" t="inlineStr"/>
      <c r="E44" s="25" t="inlineStr"/>
      <c r="F44" s="25" t="inlineStr"/>
      <c r="G44" s="25" t="inlineStr"/>
      <c r="H44" s="25" t="inlineStr"/>
      <c r="I44" s="25" t="inlineStr"/>
      <c r="J44" s="25" t="inlineStr"/>
      <c r="K44" s="25" t="inlineStr"/>
      <c r="L44" s="25" t="inlineStr"/>
    </row>
    <row r="45">
      <c r="A45" s="27" t="inlineStr"/>
      <c r="B45" s="27" t="inlineStr"/>
      <c r="C45" s="27" t="inlineStr"/>
      <c r="D45" s="27" t="inlineStr"/>
      <c r="E45" s="27" t="inlineStr"/>
      <c r="F45" s="27" t="inlineStr"/>
      <c r="G45" s="27" t="inlineStr"/>
      <c r="H45" s="27" t="inlineStr"/>
      <c r="I45" s="27" t="inlineStr"/>
      <c r="J45" s="27" t="inlineStr"/>
      <c r="K45" s="27" t="inlineStr"/>
      <c r="L45" s="27" t="inlineStr"/>
    </row>
    <row r="47">
      <c r="A47" s="48" t="inlineStr">
        <is>
          <t>Total rows</t>
        </is>
      </c>
      <c r="B47" s="49">
        <f>COUNTA(A6:A45)</f>
        <v/>
      </c>
      <c r="C47" s="48" t="inlineStr">
        <is>
          <t>Active</t>
        </is>
      </c>
      <c r="D47" s="49">
        <f>COUNTIF(L6:L45,"Active")</f>
        <v/>
      </c>
      <c r="E47" s="48" t="inlineStr">
        <is>
          <t>Inactive</t>
        </is>
      </c>
      <c r="F47" s="49">
        <f>COUNTIF(L6:L45,"Inactive")</f>
        <v/>
      </c>
    </row>
  </sheetData>
  <autoFilter ref="A5:L45"/>
  <mergeCells count="3">
    <mergeCell ref="A3:L3"/>
    <mergeCell ref="A2:L2"/>
    <mergeCell ref="A1:L1"/>
  </mergeCells>
  <conditionalFormatting sqref="L6:L45">
    <cfRule type="cellIs" priority="1" operator="equal" dxfId="0">
      <formula>"Active"</formula>
    </cfRule>
    <cfRule type="cellIs" priority="2" operator="equal" dxfId="1">
      <formula>"Inactive"</formula>
    </cfRule>
  </conditionalFormatting>
  <dataValidations count="5">
    <dataValidation sqref="C6 C7 C8 C9 C10 C11 C12 C13 C14 C15 C16 C17 C18 C19 C20 C21 C22 C23 C24 C25 C26 C27 C28 C29 C30 C31 C32 C33 C34 C35 C36 C37 C38 C39 C40 C41 C42 C43 C44 C45" showDropDown="0" showInputMessage="0" showErrorMessage="0" allowBlank="1" type="list">
      <formula1>'01_Config'!$C$17:$C$24</formula1>
    </dataValidation>
    <dataValidation sqref="D6 D7 D8 D9 D10 D11 D12 D13 D14 D15 D16 D17 D18 D19 D20 D21 D22 D23 D24 D25 D26 D27 D28 D29 D30 D31 D32 D33 D34 D35 D36 D37 D38 D39 D40 D41 D42 D43 D44 D45" showDropDown="0" showInputMessage="0" showErrorMessage="0" allowBlank="1" type="list">
      <formula1>'01_Config'!$B$17:$B$24</formula1>
    </dataValidation>
    <dataValidation sqref="G6 G7 G8 G9 G10 G11 G12 G13 G14 G15 G16 G17 G18 G19 G20 G21 G22 G23 G24 G25 G26 G27 G28 G29 G30 G31 G32 G33 G34 G35 G36 G37 G38 G39 G40 G41 G42 G43 G44 G45" showDropDown="0" showInputMessage="0" showErrorMessage="0" allowBlank="1" type="list">
      <formula1>'01_Config'!$D$17:$D$20</formula1>
    </dataValidation>
    <dataValidation sqref="H6 H7 H8 H9 H10 H11 H12 H13 H14 H15 H16 H17 H18 H19 H20 H21 H22 H23 H24 H25 H26 H27 H28 H29 H30 H31 H32 H33 H34 H35 H36 H37 H38 H39 H40 H41 H42 H43 H44 H45" showDropDown="0" showInputMessage="0" showErrorMessage="0" allowBlank="1" type="list">
      <formula1>'01_Config'!$F$17:$F$20</formula1>
    </dataValidation>
    <dataValidation sqref="L6 L7 L8 L9 L10 L11 L12 L13 L14 L15 L16 L17 L18 L19 L20 L21 L22 L23 L24 L25 L26 L27 L28 L29 L30 L31 L32 L33 L34 L35 L36 L37 L38 L39 L40 L41 L42 L43 L44 L45" showDropDown="0" showInputMessage="0" showErrorMessage="0" allowBlank="0" type="list">
      <formula1>'01_Config'!$I$17:$I$18</formula1>
    </dataValidation>
  </dataValidations>
  <pageMargins left="0.4" right="0.4" top="0.5" bottom="0.5" header="0.2" footer="0.2"/>
  <pageSetup orientation="landscape" paperSize="9" fitToHeight="0" fitToWidth="1"/>
</worksheet>
</file>

<file path=xl/worksheets/sheet4.xml><?xml version="1.0" encoding="utf-8"?>
<worksheet xmlns="http://schemas.openxmlformats.org/spreadsheetml/2006/main">
  <sheetPr>
    <tabColor rgb="001565C0"/>
    <outlinePr summaryBelow="1" summaryRight="1"/>
    <pageSetUpPr fitToPage="1"/>
  </sheetPr>
  <dimension ref="A1:AN32"/>
  <sheetViews>
    <sheetView showGridLines="0" zoomScale="90" workbookViewId="0">
      <pane xSplit="4" ySplit="7" topLeftCell="E8"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6" customWidth="1" min="3" max="3"/>
    <col width="22"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9" customWidth="1" min="36" max="36"/>
    <col width="9" customWidth="1" min="37" max="37"/>
    <col width="18" customWidth="1" min="38" max="38"/>
    <col width="22" customWidth="1" min="39" max="39"/>
    <col width="18" customWidth="1" min="40" max="40"/>
  </cols>
  <sheetData>
    <row r="1" ht="16" customHeight="1">
      <c r="A1" s="1" t="inlineStr">
        <is>
          <t>PATHCARE DIAGNOSTICS  ·  Pathology Laboratory</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6" customHeight="1">
      <c r="A2" s="3" t="inlineStr">
        <is>
          <t>MONTHLY SHIFT ROSTER</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row>
    <row r="3" ht="18" customHeight="1">
      <c r="A3" s="4" t="inlineStr">
        <is>
          <t>Pathology Lab scheduling  ·  Change Month (B5) &amp; Year (D5) for a new period  ·  M/E/N/WO/PH/LV/TR</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row>
    <row r="4" ht="22" customHeight="1">
      <c r="A4" s="7" t="inlineStr">
        <is>
          <t>GO →</t>
        </is>
      </c>
      <c r="B4" s="50" t="inlineStr">
        <is>
          <t>Full Month</t>
        </is>
      </c>
      <c r="C4" s="51" t="inlineStr">
        <is>
          <t>▶ Week 1</t>
        </is>
      </c>
      <c r="D4" s="52" t="inlineStr">
        <is>
          <t>▶ Week 2</t>
        </is>
      </c>
      <c r="E4" s="53" t="inlineStr">
        <is>
          <t>▶ Week 3</t>
        </is>
      </c>
      <c r="F4" s="54" t="inlineStr">
        <is>
          <t>▶ Week 4</t>
        </is>
      </c>
      <c r="G4" s="55" t="inlineStr">
        <is>
          <t>▶ Week 5</t>
        </is>
      </c>
      <c r="H4" s="56" t="inlineStr">
        <is>
          <t>Click a week button to open that week’s roster (edit there — Full Month syncs automatically)</t>
        </is>
      </c>
    </row>
    <row r="5">
      <c r="A5" s="29" t="inlineStr">
        <is>
          <t>Month</t>
        </is>
      </c>
      <c r="B5" s="28" t="n">
        <v>9</v>
      </c>
      <c r="C5" s="29" t="inlineStr">
        <is>
          <t>Year</t>
        </is>
      </c>
      <c r="D5" s="28" t="n">
        <v>2026</v>
      </c>
      <c r="E5" s="56" t="inlineStr">
        <is>
          <t>NEW MONTH: change B5 &amp; D5 → use Week 1–5 buttons below to enter roster week-by-week → Full Month auto-updates. Grey columns = day does not exist in that month.</t>
        </is>
      </c>
    </row>
    <row r="6" ht="22" customHeight="1">
      <c r="A6" s="29" t="inlineStr">
        <is>
          <t>Emp ID</t>
        </is>
      </c>
      <c r="B6" s="29" t="inlineStr">
        <is>
          <t>Employee Name</t>
        </is>
      </c>
      <c r="C6" s="29" t="inlineStr">
        <is>
          <t>Department</t>
        </is>
      </c>
      <c r="D6" s="29" t="inlineStr">
        <is>
          <t>Designation</t>
        </is>
      </c>
      <c r="E6" s="7" t="n">
        <v>1</v>
      </c>
      <c r="F6" s="7" t="n">
        <v>2</v>
      </c>
      <c r="G6" s="7" t="n">
        <v>3</v>
      </c>
      <c r="H6" s="7" t="n">
        <v>4</v>
      </c>
      <c r="I6" s="7" t="n">
        <v>5</v>
      </c>
      <c r="J6" s="7" t="n">
        <v>6</v>
      </c>
      <c r="K6" s="7" t="n">
        <v>7</v>
      </c>
      <c r="L6" s="7" t="n">
        <v>8</v>
      </c>
      <c r="M6" s="7" t="n">
        <v>9</v>
      </c>
      <c r="N6" s="7" t="n">
        <v>10</v>
      </c>
      <c r="O6" s="7" t="n">
        <v>11</v>
      </c>
      <c r="P6" s="7" t="n">
        <v>12</v>
      </c>
      <c r="Q6" s="7" t="n">
        <v>13</v>
      </c>
      <c r="R6" s="7" t="n">
        <v>14</v>
      </c>
      <c r="S6" s="7" t="n">
        <v>15</v>
      </c>
      <c r="T6" s="7" t="n">
        <v>16</v>
      </c>
      <c r="U6" s="7" t="n">
        <v>17</v>
      </c>
      <c r="V6" s="7" t="n">
        <v>18</v>
      </c>
      <c r="W6" s="7" t="n">
        <v>19</v>
      </c>
      <c r="X6" s="7" t="n">
        <v>20</v>
      </c>
      <c r="Y6" s="7" t="n">
        <v>21</v>
      </c>
      <c r="Z6" s="7" t="n">
        <v>22</v>
      </c>
      <c r="AA6" s="7" t="n">
        <v>23</v>
      </c>
      <c r="AB6" s="7" t="n">
        <v>24</v>
      </c>
      <c r="AC6" s="7" t="n">
        <v>25</v>
      </c>
      <c r="AD6" s="7" t="n">
        <v>26</v>
      </c>
      <c r="AE6" s="7" t="n">
        <v>27</v>
      </c>
      <c r="AF6" s="7" t="n">
        <v>28</v>
      </c>
      <c r="AG6" s="7" t="n">
        <v>29</v>
      </c>
      <c r="AH6" s="7" t="n">
        <v>30</v>
      </c>
      <c r="AI6" s="7" t="n">
        <v>31</v>
      </c>
      <c r="AJ6" s="57" t="inlineStr">
        <is>
          <t>WO Days</t>
        </is>
      </c>
      <c r="AK6" s="57" t="inlineStr">
        <is>
          <t>OT Hours</t>
        </is>
      </c>
      <c r="AL6" s="57" t="inlineStr">
        <is>
          <t>Backup Resource</t>
        </is>
      </c>
      <c r="AM6" s="57" t="inlineStr">
        <is>
          <t>Shift Swap / Notes</t>
        </is>
      </c>
      <c r="AN6" s="57" t="inlineStr">
        <is>
          <t>Remarks</t>
        </is>
      </c>
    </row>
    <row r="7" ht="14" customHeight="1">
      <c r="A7" s="13" t="inlineStr"/>
      <c r="B7" s="13" t="inlineStr"/>
      <c r="C7" s="13" t="inlineStr"/>
      <c r="D7" s="13" t="inlineStr"/>
      <c r="E7" s="58">
        <f>IF(E$6&gt;DAY(DATE($D$5,$B$5+1,0)),"",TEXT(DATE($D$5,$B$5,E$6),"DDD"))</f>
        <v/>
      </c>
      <c r="F7" s="58">
        <f>IF(F$6&gt;DAY(DATE($D$5,$B$5+1,0)),"",TEXT(DATE($D$5,$B$5,F$6),"DDD"))</f>
        <v/>
      </c>
      <c r="G7" s="58">
        <f>IF(G$6&gt;DAY(DATE($D$5,$B$5+1,0)),"",TEXT(DATE($D$5,$B$5,G$6),"DDD"))</f>
        <v/>
      </c>
      <c r="H7" s="58">
        <f>IF(H$6&gt;DAY(DATE($D$5,$B$5+1,0)),"",TEXT(DATE($D$5,$B$5,H$6),"DDD"))</f>
        <v/>
      </c>
      <c r="I7" s="58">
        <f>IF(I$6&gt;DAY(DATE($D$5,$B$5+1,0)),"",TEXT(DATE($D$5,$B$5,I$6),"DDD"))</f>
        <v/>
      </c>
      <c r="J7" s="58">
        <f>IF(J$6&gt;DAY(DATE($D$5,$B$5+1,0)),"",TEXT(DATE($D$5,$B$5,J$6),"DDD"))</f>
        <v/>
      </c>
      <c r="K7" s="58">
        <f>IF(K$6&gt;DAY(DATE($D$5,$B$5+1,0)),"",TEXT(DATE($D$5,$B$5,K$6),"DDD"))</f>
        <v/>
      </c>
      <c r="L7" s="58">
        <f>IF(L$6&gt;DAY(DATE($D$5,$B$5+1,0)),"",TEXT(DATE($D$5,$B$5,L$6),"DDD"))</f>
        <v/>
      </c>
      <c r="M7" s="58">
        <f>IF(M$6&gt;DAY(DATE($D$5,$B$5+1,0)),"",TEXT(DATE($D$5,$B$5,M$6),"DDD"))</f>
        <v/>
      </c>
      <c r="N7" s="58">
        <f>IF(N$6&gt;DAY(DATE($D$5,$B$5+1,0)),"",TEXT(DATE($D$5,$B$5,N$6),"DDD"))</f>
        <v/>
      </c>
      <c r="O7" s="58">
        <f>IF(O$6&gt;DAY(DATE($D$5,$B$5+1,0)),"",TEXT(DATE($D$5,$B$5,O$6),"DDD"))</f>
        <v/>
      </c>
      <c r="P7" s="58">
        <f>IF(P$6&gt;DAY(DATE($D$5,$B$5+1,0)),"",TEXT(DATE($D$5,$B$5,P$6),"DDD"))</f>
        <v/>
      </c>
      <c r="Q7" s="58">
        <f>IF(Q$6&gt;DAY(DATE($D$5,$B$5+1,0)),"",TEXT(DATE($D$5,$B$5,Q$6),"DDD"))</f>
        <v/>
      </c>
      <c r="R7" s="58">
        <f>IF(R$6&gt;DAY(DATE($D$5,$B$5+1,0)),"",TEXT(DATE($D$5,$B$5,R$6),"DDD"))</f>
        <v/>
      </c>
      <c r="S7" s="58">
        <f>IF(S$6&gt;DAY(DATE($D$5,$B$5+1,0)),"",TEXT(DATE($D$5,$B$5,S$6),"DDD"))</f>
        <v/>
      </c>
      <c r="T7" s="58">
        <f>IF(T$6&gt;DAY(DATE($D$5,$B$5+1,0)),"",TEXT(DATE($D$5,$B$5,T$6),"DDD"))</f>
        <v/>
      </c>
      <c r="U7" s="58">
        <f>IF(U$6&gt;DAY(DATE($D$5,$B$5+1,0)),"",TEXT(DATE($D$5,$B$5,U$6),"DDD"))</f>
        <v/>
      </c>
      <c r="V7" s="58">
        <f>IF(V$6&gt;DAY(DATE($D$5,$B$5+1,0)),"",TEXT(DATE($D$5,$B$5,V$6),"DDD"))</f>
        <v/>
      </c>
      <c r="W7" s="58">
        <f>IF(W$6&gt;DAY(DATE($D$5,$B$5+1,0)),"",TEXT(DATE($D$5,$B$5,W$6),"DDD"))</f>
        <v/>
      </c>
      <c r="X7" s="58">
        <f>IF(X$6&gt;DAY(DATE($D$5,$B$5+1,0)),"",TEXT(DATE($D$5,$B$5,X$6),"DDD"))</f>
        <v/>
      </c>
      <c r="Y7" s="58">
        <f>IF(Y$6&gt;DAY(DATE($D$5,$B$5+1,0)),"",TEXT(DATE($D$5,$B$5,Y$6),"DDD"))</f>
        <v/>
      </c>
      <c r="Z7" s="58">
        <f>IF(Z$6&gt;DAY(DATE($D$5,$B$5+1,0)),"",TEXT(DATE($D$5,$B$5,Z$6),"DDD"))</f>
        <v/>
      </c>
      <c r="AA7" s="58">
        <f>IF(AA$6&gt;DAY(DATE($D$5,$B$5+1,0)),"",TEXT(DATE($D$5,$B$5,AA$6),"DDD"))</f>
        <v/>
      </c>
      <c r="AB7" s="58">
        <f>IF(AB$6&gt;DAY(DATE($D$5,$B$5+1,0)),"",TEXT(DATE($D$5,$B$5,AB$6),"DDD"))</f>
        <v/>
      </c>
      <c r="AC7" s="58">
        <f>IF(AC$6&gt;DAY(DATE($D$5,$B$5+1,0)),"",TEXT(DATE($D$5,$B$5,AC$6),"DDD"))</f>
        <v/>
      </c>
      <c r="AD7" s="58">
        <f>IF(AD$6&gt;DAY(DATE($D$5,$B$5+1,0)),"",TEXT(DATE($D$5,$B$5,AD$6),"DDD"))</f>
        <v/>
      </c>
      <c r="AE7" s="58">
        <f>IF(AE$6&gt;DAY(DATE($D$5,$B$5+1,0)),"",TEXT(DATE($D$5,$B$5,AE$6),"DDD"))</f>
        <v/>
      </c>
      <c r="AF7" s="58">
        <f>IF(AF$6&gt;DAY(DATE($D$5,$B$5+1,0)),"",TEXT(DATE($D$5,$B$5,AF$6),"DDD"))</f>
        <v/>
      </c>
      <c r="AG7" s="58">
        <f>IF(AG$6&gt;DAY(DATE($D$5,$B$5+1,0)),"",TEXT(DATE($D$5,$B$5,AG$6),"DDD"))</f>
        <v/>
      </c>
      <c r="AH7" s="58">
        <f>IF(AH$6&gt;DAY(DATE($D$5,$B$5+1,0)),"",TEXT(DATE($D$5,$B$5,AH$6),"DDD"))</f>
        <v/>
      </c>
      <c r="AI7" s="58">
        <f>IF(AI$6&gt;DAY(DATE($D$5,$B$5+1,0)),"",TEXT(DATE($D$5,$B$5,AI$6),"DDD"))</f>
        <v/>
      </c>
      <c r="AJ7" s="13" t="inlineStr"/>
      <c r="AK7" s="13" t="inlineStr"/>
      <c r="AL7" s="13" t="inlineStr"/>
      <c r="AM7" s="13" t="inlineStr"/>
      <c r="AN7" s="13" t="inlineStr"/>
    </row>
    <row r="8" ht="18" customHeight="1">
      <c r="A8" s="30">
        <f>'02_Employee_Master'!A6</f>
        <v/>
      </c>
      <c r="B8" s="9">
        <f>'02_Employee_Master'!B6</f>
        <v/>
      </c>
      <c r="C8" s="9">
        <f>'02_Employee_Master'!D6</f>
        <v/>
      </c>
      <c r="D8" s="9">
        <f>'02_Employee_Master'!C6</f>
        <v/>
      </c>
      <c r="E8" s="59">
        <f>'W1_Roster'!E8</f>
        <v/>
      </c>
      <c r="F8" s="59">
        <f>'W1_Roster'!F8</f>
        <v/>
      </c>
      <c r="G8" s="59">
        <f>'W1_Roster'!G8</f>
        <v/>
      </c>
      <c r="H8" s="59">
        <f>'W1_Roster'!H8</f>
        <v/>
      </c>
      <c r="I8" s="59">
        <f>'W1_Roster'!I8</f>
        <v/>
      </c>
      <c r="J8" s="59">
        <f>'W1_Roster'!J8</f>
        <v/>
      </c>
      <c r="K8" s="59">
        <f>'W1_Roster'!K8</f>
        <v/>
      </c>
      <c r="L8" s="59">
        <f>'W2_Roster'!E8</f>
        <v/>
      </c>
      <c r="M8" s="59">
        <f>'W2_Roster'!F8</f>
        <v/>
      </c>
      <c r="N8" s="59">
        <f>'W2_Roster'!G8</f>
        <v/>
      </c>
      <c r="O8" s="59">
        <f>'W2_Roster'!H8</f>
        <v/>
      </c>
      <c r="P8" s="59">
        <f>'W2_Roster'!I8</f>
        <v/>
      </c>
      <c r="Q8" s="59">
        <f>'W2_Roster'!J8</f>
        <v/>
      </c>
      <c r="R8" s="59">
        <f>'W2_Roster'!K8</f>
        <v/>
      </c>
      <c r="S8" s="59">
        <f>'W3_Roster'!E8</f>
        <v/>
      </c>
      <c r="T8" s="59">
        <f>'W3_Roster'!F8</f>
        <v/>
      </c>
      <c r="U8" s="59">
        <f>'W3_Roster'!G8</f>
        <v/>
      </c>
      <c r="V8" s="59">
        <f>'W3_Roster'!H8</f>
        <v/>
      </c>
      <c r="W8" s="59">
        <f>'W3_Roster'!I8</f>
        <v/>
      </c>
      <c r="X8" s="59">
        <f>'W3_Roster'!J8</f>
        <v/>
      </c>
      <c r="Y8" s="59">
        <f>'W3_Roster'!K8</f>
        <v/>
      </c>
      <c r="Z8" s="59">
        <f>'W4_Roster'!E8</f>
        <v/>
      </c>
      <c r="AA8" s="59">
        <f>'W4_Roster'!F8</f>
        <v/>
      </c>
      <c r="AB8" s="59">
        <f>'W4_Roster'!G8</f>
        <v/>
      </c>
      <c r="AC8" s="59">
        <f>'W4_Roster'!H8</f>
        <v/>
      </c>
      <c r="AD8" s="59">
        <f>'W4_Roster'!I8</f>
        <v/>
      </c>
      <c r="AE8" s="59">
        <f>'W4_Roster'!J8</f>
        <v/>
      </c>
      <c r="AF8" s="59">
        <f>'W4_Roster'!K8</f>
        <v/>
      </c>
      <c r="AG8" s="59">
        <f>'W5_Roster'!E8</f>
        <v/>
      </c>
      <c r="AH8" s="59">
        <f>'W5_Roster'!F8</f>
        <v/>
      </c>
      <c r="AI8" s="59">
        <f>'W5_Roster'!G8</f>
        <v/>
      </c>
      <c r="AJ8" s="30">
        <f>COUNTIF(E8:AI8,"WO")</f>
        <v/>
      </c>
      <c r="AK8" s="30" t="n">
        <v>0</v>
      </c>
      <c r="AL8" s="30" t="inlineStr">
        <is>
          <t>Vikram Singh</t>
        </is>
      </c>
      <c r="AM8" s="30" t="inlineStr"/>
      <c r="AN8" s="30" t="inlineStr"/>
    </row>
    <row r="9" ht="18" customHeight="1">
      <c r="A9" s="33">
        <f>'02_Employee_Master'!A7</f>
        <v/>
      </c>
      <c r="B9" s="11">
        <f>'02_Employee_Master'!B7</f>
        <v/>
      </c>
      <c r="C9" s="11">
        <f>'02_Employee_Master'!D7</f>
        <v/>
      </c>
      <c r="D9" s="11">
        <f>'02_Employee_Master'!C7</f>
        <v/>
      </c>
      <c r="E9" s="60">
        <f>'W1_Roster'!E9</f>
        <v/>
      </c>
      <c r="F9" s="60">
        <f>'W1_Roster'!F9</f>
        <v/>
      </c>
      <c r="G9" s="60">
        <f>'W1_Roster'!G9</f>
        <v/>
      </c>
      <c r="H9" s="60">
        <f>'W1_Roster'!H9</f>
        <v/>
      </c>
      <c r="I9" s="60">
        <f>'W1_Roster'!I9</f>
        <v/>
      </c>
      <c r="J9" s="60">
        <f>'W1_Roster'!J9</f>
        <v/>
      </c>
      <c r="K9" s="60">
        <f>'W1_Roster'!K9</f>
        <v/>
      </c>
      <c r="L9" s="60">
        <f>'W2_Roster'!E9</f>
        <v/>
      </c>
      <c r="M9" s="60">
        <f>'W2_Roster'!F9</f>
        <v/>
      </c>
      <c r="N9" s="60">
        <f>'W2_Roster'!G9</f>
        <v/>
      </c>
      <c r="O9" s="60">
        <f>'W2_Roster'!H9</f>
        <v/>
      </c>
      <c r="P9" s="60">
        <f>'W2_Roster'!I9</f>
        <v/>
      </c>
      <c r="Q9" s="60">
        <f>'W2_Roster'!J9</f>
        <v/>
      </c>
      <c r="R9" s="60">
        <f>'W2_Roster'!K9</f>
        <v/>
      </c>
      <c r="S9" s="60">
        <f>'W3_Roster'!E9</f>
        <v/>
      </c>
      <c r="T9" s="60">
        <f>'W3_Roster'!F9</f>
        <v/>
      </c>
      <c r="U9" s="60">
        <f>'W3_Roster'!G9</f>
        <v/>
      </c>
      <c r="V9" s="60">
        <f>'W3_Roster'!H9</f>
        <v/>
      </c>
      <c r="W9" s="60">
        <f>'W3_Roster'!I9</f>
        <v/>
      </c>
      <c r="X9" s="60">
        <f>'W3_Roster'!J9</f>
        <v/>
      </c>
      <c r="Y9" s="60">
        <f>'W3_Roster'!K9</f>
        <v/>
      </c>
      <c r="Z9" s="60">
        <f>'W4_Roster'!E9</f>
        <v/>
      </c>
      <c r="AA9" s="60">
        <f>'W4_Roster'!F9</f>
        <v/>
      </c>
      <c r="AB9" s="60">
        <f>'W4_Roster'!G9</f>
        <v/>
      </c>
      <c r="AC9" s="60">
        <f>'W4_Roster'!H9</f>
        <v/>
      </c>
      <c r="AD9" s="60">
        <f>'W4_Roster'!I9</f>
        <v/>
      </c>
      <c r="AE9" s="60">
        <f>'W4_Roster'!J9</f>
        <v/>
      </c>
      <c r="AF9" s="60">
        <f>'W4_Roster'!K9</f>
        <v/>
      </c>
      <c r="AG9" s="60">
        <f>'W5_Roster'!E9</f>
        <v/>
      </c>
      <c r="AH9" s="60">
        <f>'W5_Roster'!F9</f>
        <v/>
      </c>
      <c r="AI9" s="60">
        <f>'W5_Roster'!G9</f>
        <v/>
      </c>
      <c r="AJ9" s="33">
        <f>COUNTIF(E9:AI9,"WO")</f>
        <v/>
      </c>
      <c r="AK9" s="33" t="n">
        <v>0</v>
      </c>
      <c r="AL9" s="33" t="inlineStr"/>
      <c r="AM9" s="33" t="inlineStr"/>
      <c r="AN9" s="33" t="inlineStr"/>
    </row>
    <row r="10" ht="18" customHeight="1">
      <c r="A10" s="30">
        <f>'02_Employee_Master'!A8</f>
        <v/>
      </c>
      <c r="B10" s="9">
        <f>'02_Employee_Master'!B8</f>
        <v/>
      </c>
      <c r="C10" s="9">
        <f>'02_Employee_Master'!D8</f>
        <v/>
      </c>
      <c r="D10" s="9">
        <f>'02_Employee_Master'!C8</f>
        <v/>
      </c>
      <c r="E10" s="59">
        <f>'W1_Roster'!E10</f>
        <v/>
      </c>
      <c r="F10" s="59">
        <f>'W1_Roster'!F10</f>
        <v/>
      </c>
      <c r="G10" s="59">
        <f>'W1_Roster'!G10</f>
        <v/>
      </c>
      <c r="H10" s="59">
        <f>'W1_Roster'!H10</f>
        <v/>
      </c>
      <c r="I10" s="59">
        <f>'W1_Roster'!I10</f>
        <v/>
      </c>
      <c r="J10" s="59">
        <f>'W1_Roster'!J10</f>
        <v/>
      </c>
      <c r="K10" s="59">
        <f>'W1_Roster'!K10</f>
        <v/>
      </c>
      <c r="L10" s="59">
        <f>'W2_Roster'!E10</f>
        <v/>
      </c>
      <c r="M10" s="59">
        <f>'W2_Roster'!F10</f>
        <v/>
      </c>
      <c r="N10" s="59">
        <f>'W2_Roster'!G10</f>
        <v/>
      </c>
      <c r="O10" s="59">
        <f>'W2_Roster'!H10</f>
        <v/>
      </c>
      <c r="P10" s="59">
        <f>'W2_Roster'!I10</f>
        <v/>
      </c>
      <c r="Q10" s="59">
        <f>'W2_Roster'!J10</f>
        <v/>
      </c>
      <c r="R10" s="59">
        <f>'W2_Roster'!K10</f>
        <v/>
      </c>
      <c r="S10" s="59">
        <f>'W3_Roster'!E10</f>
        <v/>
      </c>
      <c r="T10" s="59">
        <f>'W3_Roster'!F10</f>
        <v/>
      </c>
      <c r="U10" s="59">
        <f>'W3_Roster'!G10</f>
        <v/>
      </c>
      <c r="V10" s="59">
        <f>'W3_Roster'!H10</f>
        <v/>
      </c>
      <c r="W10" s="59">
        <f>'W3_Roster'!I10</f>
        <v/>
      </c>
      <c r="X10" s="59">
        <f>'W3_Roster'!J10</f>
        <v/>
      </c>
      <c r="Y10" s="59">
        <f>'W3_Roster'!K10</f>
        <v/>
      </c>
      <c r="Z10" s="59">
        <f>'W4_Roster'!E10</f>
        <v/>
      </c>
      <c r="AA10" s="59">
        <f>'W4_Roster'!F10</f>
        <v/>
      </c>
      <c r="AB10" s="59">
        <f>'W4_Roster'!G10</f>
        <v/>
      </c>
      <c r="AC10" s="59">
        <f>'W4_Roster'!H10</f>
        <v/>
      </c>
      <c r="AD10" s="59">
        <f>'W4_Roster'!I10</f>
        <v/>
      </c>
      <c r="AE10" s="59">
        <f>'W4_Roster'!J10</f>
        <v/>
      </c>
      <c r="AF10" s="59">
        <f>'W4_Roster'!K10</f>
        <v/>
      </c>
      <c r="AG10" s="59">
        <f>'W5_Roster'!E10</f>
        <v/>
      </c>
      <c r="AH10" s="59">
        <f>'W5_Roster'!F10</f>
        <v/>
      </c>
      <c r="AI10" s="59">
        <f>'W5_Roster'!G10</f>
        <v/>
      </c>
      <c r="AJ10" s="30">
        <f>COUNTIF(E10:AI10,"WO")</f>
        <v/>
      </c>
      <c r="AK10" s="30" t="n">
        <v>0</v>
      </c>
      <c r="AL10" s="30" t="inlineStr"/>
      <c r="AM10" s="30" t="inlineStr"/>
      <c r="AN10" s="30" t="inlineStr"/>
    </row>
    <row r="11" ht="18" customHeight="1">
      <c r="A11" s="33">
        <f>'02_Employee_Master'!A9</f>
        <v/>
      </c>
      <c r="B11" s="11">
        <f>'02_Employee_Master'!B9</f>
        <v/>
      </c>
      <c r="C11" s="11">
        <f>'02_Employee_Master'!D9</f>
        <v/>
      </c>
      <c r="D11" s="11">
        <f>'02_Employee_Master'!C9</f>
        <v/>
      </c>
      <c r="E11" s="60">
        <f>'W1_Roster'!E11</f>
        <v/>
      </c>
      <c r="F11" s="60">
        <f>'W1_Roster'!F11</f>
        <v/>
      </c>
      <c r="G11" s="60">
        <f>'W1_Roster'!G11</f>
        <v/>
      </c>
      <c r="H11" s="60">
        <f>'W1_Roster'!H11</f>
        <v/>
      </c>
      <c r="I11" s="60">
        <f>'W1_Roster'!I11</f>
        <v/>
      </c>
      <c r="J11" s="60">
        <f>'W1_Roster'!J11</f>
        <v/>
      </c>
      <c r="K11" s="60">
        <f>'W1_Roster'!K11</f>
        <v/>
      </c>
      <c r="L11" s="60">
        <f>'W2_Roster'!E11</f>
        <v/>
      </c>
      <c r="M11" s="60">
        <f>'W2_Roster'!F11</f>
        <v/>
      </c>
      <c r="N11" s="60">
        <f>'W2_Roster'!G11</f>
        <v/>
      </c>
      <c r="O11" s="60">
        <f>'W2_Roster'!H11</f>
        <v/>
      </c>
      <c r="P11" s="60">
        <f>'W2_Roster'!I11</f>
        <v/>
      </c>
      <c r="Q11" s="60">
        <f>'W2_Roster'!J11</f>
        <v/>
      </c>
      <c r="R11" s="60">
        <f>'W2_Roster'!K11</f>
        <v/>
      </c>
      <c r="S11" s="60">
        <f>'W3_Roster'!E11</f>
        <v/>
      </c>
      <c r="T11" s="60">
        <f>'W3_Roster'!F11</f>
        <v/>
      </c>
      <c r="U11" s="60">
        <f>'W3_Roster'!G11</f>
        <v/>
      </c>
      <c r="V11" s="60">
        <f>'W3_Roster'!H11</f>
        <v/>
      </c>
      <c r="W11" s="60">
        <f>'W3_Roster'!I11</f>
        <v/>
      </c>
      <c r="X11" s="60">
        <f>'W3_Roster'!J11</f>
        <v/>
      </c>
      <c r="Y11" s="60">
        <f>'W3_Roster'!K11</f>
        <v/>
      </c>
      <c r="Z11" s="60">
        <f>'W4_Roster'!E11</f>
        <v/>
      </c>
      <c r="AA11" s="60">
        <f>'W4_Roster'!F11</f>
        <v/>
      </c>
      <c r="AB11" s="60">
        <f>'W4_Roster'!G11</f>
        <v/>
      </c>
      <c r="AC11" s="60">
        <f>'W4_Roster'!H11</f>
        <v/>
      </c>
      <c r="AD11" s="60">
        <f>'W4_Roster'!I11</f>
        <v/>
      </c>
      <c r="AE11" s="60">
        <f>'W4_Roster'!J11</f>
        <v/>
      </c>
      <c r="AF11" s="60">
        <f>'W4_Roster'!K11</f>
        <v/>
      </c>
      <c r="AG11" s="60">
        <f>'W5_Roster'!E11</f>
        <v/>
      </c>
      <c r="AH11" s="60">
        <f>'W5_Roster'!F11</f>
        <v/>
      </c>
      <c r="AI11" s="60">
        <f>'W5_Roster'!G11</f>
        <v/>
      </c>
      <c r="AJ11" s="33">
        <f>COUNTIF(E11:AI11,"WO")</f>
        <v/>
      </c>
      <c r="AK11" s="33" t="n">
        <v>0</v>
      </c>
      <c r="AL11" s="33" t="inlineStr"/>
      <c r="AM11" s="33" t="inlineStr"/>
      <c r="AN11" s="33" t="inlineStr"/>
    </row>
    <row r="12" ht="18" customHeight="1">
      <c r="A12" s="30">
        <f>'02_Employee_Master'!A10</f>
        <v/>
      </c>
      <c r="B12" s="9">
        <f>'02_Employee_Master'!B10</f>
        <v/>
      </c>
      <c r="C12" s="9">
        <f>'02_Employee_Master'!D10</f>
        <v/>
      </c>
      <c r="D12" s="9">
        <f>'02_Employee_Master'!C10</f>
        <v/>
      </c>
      <c r="E12" s="59">
        <f>'W1_Roster'!E12</f>
        <v/>
      </c>
      <c r="F12" s="59">
        <f>'W1_Roster'!F12</f>
        <v/>
      </c>
      <c r="G12" s="59">
        <f>'W1_Roster'!G12</f>
        <v/>
      </c>
      <c r="H12" s="59">
        <f>'W1_Roster'!H12</f>
        <v/>
      </c>
      <c r="I12" s="59">
        <f>'W1_Roster'!I12</f>
        <v/>
      </c>
      <c r="J12" s="59">
        <f>'W1_Roster'!J12</f>
        <v/>
      </c>
      <c r="K12" s="59">
        <f>'W1_Roster'!K12</f>
        <v/>
      </c>
      <c r="L12" s="59">
        <f>'W2_Roster'!E12</f>
        <v/>
      </c>
      <c r="M12" s="59">
        <f>'W2_Roster'!F12</f>
        <v/>
      </c>
      <c r="N12" s="59">
        <f>'W2_Roster'!G12</f>
        <v/>
      </c>
      <c r="O12" s="59">
        <f>'W2_Roster'!H12</f>
        <v/>
      </c>
      <c r="P12" s="59">
        <f>'W2_Roster'!I12</f>
        <v/>
      </c>
      <c r="Q12" s="59">
        <f>'W2_Roster'!J12</f>
        <v/>
      </c>
      <c r="R12" s="59">
        <f>'W2_Roster'!K12</f>
        <v/>
      </c>
      <c r="S12" s="59">
        <f>'W3_Roster'!E12</f>
        <v/>
      </c>
      <c r="T12" s="59">
        <f>'W3_Roster'!F12</f>
        <v/>
      </c>
      <c r="U12" s="59">
        <f>'W3_Roster'!G12</f>
        <v/>
      </c>
      <c r="V12" s="59">
        <f>'W3_Roster'!H12</f>
        <v/>
      </c>
      <c r="W12" s="59">
        <f>'W3_Roster'!I12</f>
        <v/>
      </c>
      <c r="X12" s="59">
        <f>'W3_Roster'!J12</f>
        <v/>
      </c>
      <c r="Y12" s="59">
        <f>'W3_Roster'!K12</f>
        <v/>
      </c>
      <c r="Z12" s="59">
        <f>'W4_Roster'!E12</f>
        <v/>
      </c>
      <c r="AA12" s="59">
        <f>'W4_Roster'!F12</f>
        <v/>
      </c>
      <c r="AB12" s="59">
        <f>'W4_Roster'!G12</f>
        <v/>
      </c>
      <c r="AC12" s="59">
        <f>'W4_Roster'!H12</f>
        <v/>
      </c>
      <c r="AD12" s="59">
        <f>'W4_Roster'!I12</f>
        <v/>
      </c>
      <c r="AE12" s="59">
        <f>'W4_Roster'!J12</f>
        <v/>
      </c>
      <c r="AF12" s="59">
        <f>'W4_Roster'!K12</f>
        <v/>
      </c>
      <c r="AG12" s="59">
        <f>'W5_Roster'!E12</f>
        <v/>
      </c>
      <c r="AH12" s="59">
        <f>'W5_Roster'!F12</f>
        <v/>
      </c>
      <c r="AI12" s="59">
        <f>'W5_Roster'!G12</f>
        <v/>
      </c>
      <c r="AJ12" s="30">
        <f>COUNTIF(E12:AI12,"WO")</f>
        <v/>
      </c>
      <c r="AK12" s="30" t="n">
        <v>0</v>
      </c>
      <c r="AL12" s="30" t="inlineStr"/>
      <c r="AM12" s="30" t="inlineStr"/>
      <c r="AN12" s="30" t="inlineStr"/>
    </row>
    <row r="13" ht="18" customHeight="1">
      <c r="A13" s="33">
        <f>'02_Employee_Master'!A11</f>
        <v/>
      </c>
      <c r="B13" s="11">
        <f>'02_Employee_Master'!B11</f>
        <v/>
      </c>
      <c r="C13" s="11">
        <f>'02_Employee_Master'!D11</f>
        <v/>
      </c>
      <c r="D13" s="11">
        <f>'02_Employee_Master'!C11</f>
        <v/>
      </c>
      <c r="E13" s="60">
        <f>'W1_Roster'!E13</f>
        <v/>
      </c>
      <c r="F13" s="60">
        <f>'W1_Roster'!F13</f>
        <v/>
      </c>
      <c r="G13" s="60">
        <f>'W1_Roster'!G13</f>
        <v/>
      </c>
      <c r="H13" s="60">
        <f>'W1_Roster'!H13</f>
        <v/>
      </c>
      <c r="I13" s="60">
        <f>'W1_Roster'!I13</f>
        <v/>
      </c>
      <c r="J13" s="60">
        <f>'W1_Roster'!J13</f>
        <v/>
      </c>
      <c r="K13" s="60">
        <f>'W1_Roster'!K13</f>
        <v/>
      </c>
      <c r="L13" s="60">
        <f>'W2_Roster'!E13</f>
        <v/>
      </c>
      <c r="M13" s="60">
        <f>'W2_Roster'!F13</f>
        <v/>
      </c>
      <c r="N13" s="60">
        <f>'W2_Roster'!G13</f>
        <v/>
      </c>
      <c r="O13" s="60">
        <f>'W2_Roster'!H13</f>
        <v/>
      </c>
      <c r="P13" s="60">
        <f>'W2_Roster'!I13</f>
        <v/>
      </c>
      <c r="Q13" s="60">
        <f>'W2_Roster'!J13</f>
        <v/>
      </c>
      <c r="R13" s="60">
        <f>'W2_Roster'!K13</f>
        <v/>
      </c>
      <c r="S13" s="60">
        <f>'W3_Roster'!E13</f>
        <v/>
      </c>
      <c r="T13" s="60">
        <f>'W3_Roster'!F13</f>
        <v/>
      </c>
      <c r="U13" s="60">
        <f>'W3_Roster'!G13</f>
        <v/>
      </c>
      <c r="V13" s="60">
        <f>'W3_Roster'!H13</f>
        <v/>
      </c>
      <c r="W13" s="60">
        <f>'W3_Roster'!I13</f>
        <v/>
      </c>
      <c r="X13" s="60">
        <f>'W3_Roster'!J13</f>
        <v/>
      </c>
      <c r="Y13" s="60">
        <f>'W3_Roster'!K13</f>
        <v/>
      </c>
      <c r="Z13" s="60">
        <f>'W4_Roster'!E13</f>
        <v/>
      </c>
      <c r="AA13" s="60">
        <f>'W4_Roster'!F13</f>
        <v/>
      </c>
      <c r="AB13" s="60">
        <f>'W4_Roster'!G13</f>
        <v/>
      </c>
      <c r="AC13" s="60">
        <f>'W4_Roster'!H13</f>
        <v/>
      </c>
      <c r="AD13" s="60">
        <f>'W4_Roster'!I13</f>
        <v/>
      </c>
      <c r="AE13" s="60">
        <f>'W4_Roster'!J13</f>
        <v/>
      </c>
      <c r="AF13" s="60">
        <f>'W4_Roster'!K13</f>
        <v/>
      </c>
      <c r="AG13" s="60">
        <f>'W5_Roster'!E13</f>
        <v/>
      </c>
      <c r="AH13" s="60">
        <f>'W5_Roster'!F13</f>
        <v/>
      </c>
      <c r="AI13" s="60">
        <f>'W5_Roster'!G13</f>
        <v/>
      </c>
      <c r="AJ13" s="33">
        <f>COUNTIF(E13:AI13,"WO")</f>
        <v/>
      </c>
      <c r="AK13" s="33" t="n">
        <v>0</v>
      </c>
      <c r="AL13" s="33" t="inlineStr"/>
      <c r="AM13" s="33" t="inlineStr"/>
      <c r="AN13" s="33" t="inlineStr"/>
    </row>
    <row r="14" ht="18" customHeight="1">
      <c r="A14" s="30">
        <f>'02_Employee_Master'!A12</f>
        <v/>
      </c>
      <c r="B14" s="9">
        <f>'02_Employee_Master'!B12</f>
        <v/>
      </c>
      <c r="C14" s="9">
        <f>'02_Employee_Master'!D12</f>
        <v/>
      </c>
      <c r="D14" s="9">
        <f>'02_Employee_Master'!C12</f>
        <v/>
      </c>
      <c r="E14" s="59">
        <f>'W1_Roster'!E14</f>
        <v/>
      </c>
      <c r="F14" s="59">
        <f>'W1_Roster'!F14</f>
        <v/>
      </c>
      <c r="G14" s="59">
        <f>'W1_Roster'!G14</f>
        <v/>
      </c>
      <c r="H14" s="59">
        <f>'W1_Roster'!H14</f>
        <v/>
      </c>
      <c r="I14" s="59">
        <f>'W1_Roster'!I14</f>
        <v/>
      </c>
      <c r="J14" s="59">
        <f>'W1_Roster'!J14</f>
        <v/>
      </c>
      <c r="K14" s="59">
        <f>'W1_Roster'!K14</f>
        <v/>
      </c>
      <c r="L14" s="59">
        <f>'W2_Roster'!E14</f>
        <v/>
      </c>
      <c r="M14" s="59">
        <f>'W2_Roster'!F14</f>
        <v/>
      </c>
      <c r="N14" s="59">
        <f>'W2_Roster'!G14</f>
        <v/>
      </c>
      <c r="O14" s="59">
        <f>'W2_Roster'!H14</f>
        <v/>
      </c>
      <c r="P14" s="59">
        <f>'W2_Roster'!I14</f>
        <v/>
      </c>
      <c r="Q14" s="59">
        <f>'W2_Roster'!J14</f>
        <v/>
      </c>
      <c r="R14" s="59">
        <f>'W2_Roster'!K14</f>
        <v/>
      </c>
      <c r="S14" s="59">
        <f>'W3_Roster'!E14</f>
        <v/>
      </c>
      <c r="T14" s="59">
        <f>'W3_Roster'!F14</f>
        <v/>
      </c>
      <c r="U14" s="59">
        <f>'W3_Roster'!G14</f>
        <v/>
      </c>
      <c r="V14" s="59">
        <f>'W3_Roster'!H14</f>
        <v/>
      </c>
      <c r="W14" s="59">
        <f>'W3_Roster'!I14</f>
        <v/>
      </c>
      <c r="X14" s="59">
        <f>'W3_Roster'!J14</f>
        <v/>
      </c>
      <c r="Y14" s="59">
        <f>'W3_Roster'!K14</f>
        <v/>
      </c>
      <c r="Z14" s="59">
        <f>'W4_Roster'!E14</f>
        <v/>
      </c>
      <c r="AA14" s="59">
        <f>'W4_Roster'!F14</f>
        <v/>
      </c>
      <c r="AB14" s="59">
        <f>'W4_Roster'!G14</f>
        <v/>
      </c>
      <c r="AC14" s="59">
        <f>'W4_Roster'!H14</f>
        <v/>
      </c>
      <c r="AD14" s="59">
        <f>'W4_Roster'!I14</f>
        <v/>
      </c>
      <c r="AE14" s="59">
        <f>'W4_Roster'!J14</f>
        <v/>
      </c>
      <c r="AF14" s="59">
        <f>'W4_Roster'!K14</f>
        <v/>
      </c>
      <c r="AG14" s="59">
        <f>'W5_Roster'!E14</f>
        <v/>
      </c>
      <c r="AH14" s="59">
        <f>'W5_Roster'!F14</f>
        <v/>
      </c>
      <c r="AI14" s="59">
        <f>'W5_Roster'!G14</f>
        <v/>
      </c>
      <c r="AJ14" s="30">
        <f>COUNTIF(E14:AI14,"WO")</f>
        <v/>
      </c>
      <c r="AK14" s="30" t="n">
        <v>0</v>
      </c>
      <c r="AL14" s="30" t="inlineStr">
        <is>
          <t>Karan Malhotra</t>
        </is>
      </c>
      <c r="AM14" s="30" t="inlineStr"/>
      <c r="AN14" s="30" t="inlineStr"/>
    </row>
    <row r="15" ht="18" customHeight="1">
      <c r="A15" s="33">
        <f>'02_Employee_Master'!A13</f>
        <v/>
      </c>
      <c r="B15" s="11">
        <f>'02_Employee_Master'!B13</f>
        <v/>
      </c>
      <c r="C15" s="11">
        <f>'02_Employee_Master'!D13</f>
        <v/>
      </c>
      <c r="D15" s="11">
        <f>'02_Employee_Master'!C13</f>
        <v/>
      </c>
      <c r="E15" s="60">
        <f>'W1_Roster'!E15</f>
        <v/>
      </c>
      <c r="F15" s="60">
        <f>'W1_Roster'!F15</f>
        <v/>
      </c>
      <c r="G15" s="60">
        <f>'W1_Roster'!G15</f>
        <v/>
      </c>
      <c r="H15" s="60">
        <f>'W1_Roster'!H15</f>
        <v/>
      </c>
      <c r="I15" s="60">
        <f>'W1_Roster'!I15</f>
        <v/>
      </c>
      <c r="J15" s="60">
        <f>'W1_Roster'!J15</f>
        <v/>
      </c>
      <c r="K15" s="60">
        <f>'W1_Roster'!K15</f>
        <v/>
      </c>
      <c r="L15" s="60">
        <f>'W2_Roster'!E15</f>
        <v/>
      </c>
      <c r="M15" s="60">
        <f>'W2_Roster'!F15</f>
        <v/>
      </c>
      <c r="N15" s="60">
        <f>'W2_Roster'!G15</f>
        <v/>
      </c>
      <c r="O15" s="60">
        <f>'W2_Roster'!H15</f>
        <v/>
      </c>
      <c r="P15" s="60">
        <f>'W2_Roster'!I15</f>
        <v/>
      </c>
      <c r="Q15" s="60">
        <f>'W2_Roster'!J15</f>
        <v/>
      </c>
      <c r="R15" s="60">
        <f>'W2_Roster'!K15</f>
        <v/>
      </c>
      <c r="S15" s="60">
        <f>'W3_Roster'!E15</f>
        <v/>
      </c>
      <c r="T15" s="60">
        <f>'W3_Roster'!F15</f>
        <v/>
      </c>
      <c r="U15" s="60">
        <f>'W3_Roster'!G15</f>
        <v/>
      </c>
      <c r="V15" s="60">
        <f>'W3_Roster'!H15</f>
        <v/>
      </c>
      <c r="W15" s="60">
        <f>'W3_Roster'!I15</f>
        <v/>
      </c>
      <c r="X15" s="60">
        <f>'W3_Roster'!J15</f>
        <v/>
      </c>
      <c r="Y15" s="60">
        <f>'W3_Roster'!K15</f>
        <v/>
      </c>
      <c r="Z15" s="60">
        <f>'W4_Roster'!E15</f>
        <v/>
      </c>
      <c r="AA15" s="60">
        <f>'W4_Roster'!F15</f>
        <v/>
      </c>
      <c r="AB15" s="60">
        <f>'W4_Roster'!G15</f>
        <v/>
      </c>
      <c r="AC15" s="60">
        <f>'W4_Roster'!H15</f>
        <v/>
      </c>
      <c r="AD15" s="60">
        <f>'W4_Roster'!I15</f>
        <v/>
      </c>
      <c r="AE15" s="60">
        <f>'W4_Roster'!J15</f>
        <v/>
      </c>
      <c r="AF15" s="60">
        <f>'W4_Roster'!K15</f>
        <v/>
      </c>
      <c r="AG15" s="60">
        <f>'W5_Roster'!E15</f>
        <v/>
      </c>
      <c r="AH15" s="60">
        <f>'W5_Roster'!F15</f>
        <v/>
      </c>
      <c r="AI15" s="60">
        <f>'W5_Roster'!G15</f>
        <v/>
      </c>
      <c r="AJ15" s="33">
        <f>COUNTIF(E15:AI15,"WO")</f>
        <v/>
      </c>
      <c r="AK15" s="33" t="n">
        <v>0</v>
      </c>
      <c r="AL15" s="33" t="inlineStr"/>
      <c r="AM15" s="33" t="inlineStr"/>
      <c r="AN15" s="33" t="inlineStr"/>
    </row>
    <row r="16" ht="18" customHeight="1">
      <c r="A16" s="30">
        <f>'02_Employee_Master'!A14</f>
        <v/>
      </c>
      <c r="B16" s="9">
        <f>'02_Employee_Master'!B14</f>
        <v/>
      </c>
      <c r="C16" s="9">
        <f>'02_Employee_Master'!D14</f>
        <v/>
      </c>
      <c r="D16" s="9">
        <f>'02_Employee_Master'!C14</f>
        <v/>
      </c>
      <c r="E16" s="59">
        <f>'W1_Roster'!E16</f>
        <v/>
      </c>
      <c r="F16" s="59">
        <f>'W1_Roster'!F16</f>
        <v/>
      </c>
      <c r="G16" s="59">
        <f>'W1_Roster'!G16</f>
        <v/>
      </c>
      <c r="H16" s="59">
        <f>'W1_Roster'!H16</f>
        <v/>
      </c>
      <c r="I16" s="59">
        <f>'W1_Roster'!I16</f>
        <v/>
      </c>
      <c r="J16" s="59">
        <f>'W1_Roster'!J16</f>
        <v/>
      </c>
      <c r="K16" s="59">
        <f>'W1_Roster'!K16</f>
        <v/>
      </c>
      <c r="L16" s="59">
        <f>'W2_Roster'!E16</f>
        <v/>
      </c>
      <c r="M16" s="59">
        <f>'W2_Roster'!F16</f>
        <v/>
      </c>
      <c r="N16" s="59">
        <f>'W2_Roster'!G16</f>
        <v/>
      </c>
      <c r="O16" s="59">
        <f>'W2_Roster'!H16</f>
        <v/>
      </c>
      <c r="P16" s="59">
        <f>'W2_Roster'!I16</f>
        <v/>
      </c>
      <c r="Q16" s="59">
        <f>'W2_Roster'!J16</f>
        <v/>
      </c>
      <c r="R16" s="59">
        <f>'W2_Roster'!K16</f>
        <v/>
      </c>
      <c r="S16" s="59">
        <f>'W3_Roster'!E16</f>
        <v/>
      </c>
      <c r="T16" s="59">
        <f>'W3_Roster'!F16</f>
        <v/>
      </c>
      <c r="U16" s="59">
        <f>'W3_Roster'!G16</f>
        <v/>
      </c>
      <c r="V16" s="59">
        <f>'W3_Roster'!H16</f>
        <v/>
      </c>
      <c r="W16" s="59">
        <f>'W3_Roster'!I16</f>
        <v/>
      </c>
      <c r="X16" s="59">
        <f>'W3_Roster'!J16</f>
        <v/>
      </c>
      <c r="Y16" s="59">
        <f>'W3_Roster'!K16</f>
        <v/>
      </c>
      <c r="Z16" s="59">
        <f>'W4_Roster'!E16</f>
        <v/>
      </c>
      <c r="AA16" s="59">
        <f>'W4_Roster'!F16</f>
        <v/>
      </c>
      <c r="AB16" s="59">
        <f>'W4_Roster'!G16</f>
        <v/>
      </c>
      <c r="AC16" s="59">
        <f>'W4_Roster'!H16</f>
        <v/>
      </c>
      <c r="AD16" s="59">
        <f>'W4_Roster'!I16</f>
        <v/>
      </c>
      <c r="AE16" s="59">
        <f>'W4_Roster'!J16</f>
        <v/>
      </c>
      <c r="AF16" s="59">
        <f>'W4_Roster'!K16</f>
        <v/>
      </c>
      <c r="AG16" s="59">
        <f>'W5_Roster'!E16</f>
        <v/>
      </c>
      <c r="AH16" s="59">
        <f>'W5_Roster'!F16</f>
        <v/>
      </c>
      <c r="AI16" s="59">
        <f>'W5_Roster'!G16</f>
        <v/>
      </c>
      <c r="AJ16" s="30">
        <f>COUNTIF(E16:AI16,"WO")</f>
        <v/>
      </c>
      <c r="AK16" s="30" t="n">
        <v>0</v>
      </c>
      <c r="AL16" s="30" t="inlineStr"/>
      <c r="AM16" s="30" t="inlineStr"/>
      <c r="AN16" s="30" t="inlineStr"/>
    </row>
    <row r="17" ht="18" customHeight="1">
      <c r="A17" s="33">
        <f>'02_Employee_Master'!A15</f>
        <v/>
      </c>
      <c r="B17" s="11">
        <f>'02_Employee_Master'!B15</f>
        <v/>
      </c>
      <c r="C17" s="11">
        <f>'02_Employee_Master'!D15</f>
        <v/>
      </c>
      <c r="D17" s="11">
        <f>'02_Employee_Master'!C15</f>
        <v/>
      </c>
      <c r="E17" s="60">
        <f>'W1_Roster'!E17</f>
        <v/>
      </c>
      <c r="F17" s="60">
        <f>'W1_Roster'!F17</f>
        <v/>
      </c>
      <c r="G17" s="60">
        <f>'W1_Roster'!G17</f>
        <v/>
      </c>
      <c r="H17" s="60">
        <f>'W1_Roster'!H17</f>
        <v/>
      </c>
      <c r="I17" s="60">
        <f>'W1_Roster'!I17</f>
        <v/>
      </c>
      <c r="J17" s="60">
        <f>'W1_Roster'!J17</f>
        <v/>
      </c>
      <c r="K17" s="60">
        <f>'W1_Roster'!K17</f>
        <v/>
      </c>
      <c r="L17" s="60">
        <f>'W2_Roster'!E17</f>
        <v/>
      </c>
      <c r="M17" s="60">
        <f>'W2_Roster'!F17</f>
        <v/>
      </c>
      <c r="N17" s="60">
        <f>'W2_Roster'!G17</f>
        <v/>
      </c>
      <c r="O17" s="60">
        <f>'W2_Roster'!H17</f>
        <v/>
      </c>
      <c r="P17" s="60">
        <f>'W2_Roster'!I17</f>
        <v/>
      </c>
      <c r="Q17" s="60">
        <f>'W2_Roster'!J17</f>
        <v/>
      </c>
      <c r="R17" s="60">
        <f>'W2_Roster'!K17</f>
        <v/>
      </c>
      <c r="S17" s="60">
        <f>'W3_Roster'!E17</f>
        <v/>
      </c>
      <c r="T17" s="60">
        <f>'W3_Roster'!F17</f>
        <v/>
      </c>
      <c r="U17" s="60">
        <f>'W3_Roster'!G17</f>
        <v/>
      </c>
      <c r="V17" s="60">
        <f>'W3_Roster'!H17</f>
        <v/>
      </c>
      <c r="W17" s="60">
        <f>'W3_Roster'!I17</f>
        <v/>
      </c>
      <c r="X17" s="60">
        <f>'W3_Roster'!J17</f>
        <v/>
      </c>
      <c r="Y17" s="60">
        <f>'W3_Roster'!K17</f>
        <v/>
      </c>
      <c r="Z17" s="60">
        <f>'W4_Roster'!E17</f>
        <v/>
      </c>
      <c r="AA17" s="60">
        <f>'W4_Roster'!F17</f>
        <v/>
      </c>
      <c r="AB17" s="60">
        <f>'W4_Roster'!G17</f>
        <v/>
      </c>
      <c r="AC17" s="60">
        <f>'W4_Roster'!H17</f>
        <v/>
      </c>
      <c r="AD17" s="60">
        <f>'W4_Roster'!I17</f>
        <v/>
      </c>
      <c r="AE17" s="60">
        <f>'W4_Roster'!J17</f>
        <v/>
      </c>
      <c r="AF17" s="60">
        <f>'W4_Roster'!K17</f>
        <v/>
      </c>
      <c r="AG17" s="60">
        <f>'W5_Roster'!E17</f>
        <v/>
      </c>
      <c r="AH17" s="60">
        <f>'W5_Roster'!F17</f>
        <v/>
      </c>
      <c r="AI17" s="60">
        <f>'W5_Roster'!G17</f>
        <v/>
      </c>
      <c r="AJ17" s="33">
        <f>COUNTIF(E17:AI17,"WO")</f>
        <v/>
      </c>
      <c r="AK17" s="33" t="n">
        <v>0</v>
      </c>
      <c r="AL17" s="33" t="inlineStr"/>
      <c r="AM17" s="33" t="inlineStr"/>
      <c r="AN17" s="33" t="inlineStr"/>
    </row>
    <row r="18" ht="18" customHeight="1">
      <c r="A18" s="30">
        <f>'02_Employee_Master'!A16</f>
        <v/>
      </c>
      <c r="B18" s="9">
        <f>'02_Employee_Master'!B16</f>
        <v/>
      </c>
      <c r="C18" s="9">
        <f>'02_Employee_Master'!D16</f>
        <v/>
      </c>
      <c r="D18" s="9">
        <f>'02_Employee_Master'!C16</f>
        <v/>
      </c>
      <c r="E18" s="59">
        <f>'W1_Roster'!E18</f>
        <v/>
      </c>
      <c r="F18" s="59">
        <f>'W1_Roster'!F18</f>
        <v/>
      </c>
      <c r="G18" s="59">
        <f>'W1_Roster'!G18</f>
        <v/>
      </c>
      <c r="H18" s="59">
        <f>'W1_Roster'!H18</f>
        <v/>
      </c>
      <c r="I18" s="59">
        <f>'W1_Roster'!I18</f>
        <v/>
      </c>
      <c r="J18" s="59">
        <f>'W1_Roster'!J18</f>
        <v/>
      </c>
      <c r="K18" s="59">
        <f>'W1_Roster'!K18</f>
        <v/>
      </c>
      <c r="L18" s="59">
        <f>'W2_Roster'!E18</f>
        <v/>
      </c>
      <c r="M18" s="59">
        <f>'W2_Roster'!F18</f>
        <v/>
      </c>
      <c r="N18" s="59">
        <f>'W2_Roster'!G18</f>
        <v/>
      </c>
      <c r="O18" s="59">
        <f>'W2_Roster'!H18</f>
        <v/>
      </c>
      <c r="P18" s="59">
        <f>'W2_Roster'!I18</f>
        <v/>
      </c>
      <c r="Q18" s="59">
        <f>'W2_Roster'!J18</f>
        <v/>
      </c>
      <c r="R18" s="59">
        <f>'W2_Roster'!K18</f>
        <v/>
      </c>
      <c r="S18" s="59">
        <f>'W3_Roster'!E18</f>
        <v/>
      </c>
      <c r="T18" s="59">
        <f>'W3_Roster'!F18</f>
        <v/>
      </c>
      <c r="U18" s="59">
        <f>'W3_Roster'!G18</f>
        <v/>
      </c>
      <c r="V18" s="59">
        <f>'W3_Roster'!H18</f>
        <v/>
      </c>
      <c r="W18" s="59">
        <f>'W3_Roster'!I18</f>
        <v/>
      </c>
      <c r="X18" s="59">
        <f>'W3_Roster'!J18</f>
        <v/>
      </c>
      <c r="Y18" s="59">
        <f>'W3_Roster'!K18</f>
        <v/>
      </c>
      <c r="Z18" s="59">
        <f>'W4_Roster'!E18</f>
        <v/>
      </c>
      <c r="AA18" s="59">
        <f>'W4_Roster'!F18</f>
        <v/>
      </c>
      <c r="AB18" s="59">
        <f>'W4_Roster'!G18</f>
        <v/>
      </c>
      <c r="AC18" s="59">
        <f>'W4_Roster'!H18</f>
        <v/>
      </c>
      <c r="AD18" s="59">
        <f>'W4_Roster'!I18</f>
        <v/>
      </c>
      <c r="AE18" s="59">
        <f>'W4_Roster'!J18</f>
        <v/>
      </c>
      <c r="AF18" s="59">
        <f>'W4_Roster'!K18</f>
        <v/>
      </c>
      <c r="AG18" s="59">
        <f>'W5_Roster'!E18</f>
        <v/>
      </c>
      <c r="AH18" s="59">
        <f>'W5_Roster'!F18</f>
        <v/>
      </c>
      <c r="AI18" s="59">
        <f>'W5_Roster'!G18</f>
        <v/>
      </c>
      <c r="AJ18" s="30">
        <f>COUNTIF(E18:AI18,"WO")</f>
        <v/>
      </c>
      <c r="AK18" s="30" t="n">
        <v>0</v>
      </c>
      <c r="AL18" s="30" t="inlineStr"/>
      <c r="AM18" s="30" t="inlineStr"/>
      <c r="AN18" s="30" t="inlineStr"/>
    </row>
    <row r="19" ht="18" customHeight="1">
      <c r="A19" s="33">
        <f>'02_Employee_Master'!A17</f>
        <v/>
      </c>
      <c r="B19" s="11">
        <f>'02_Employee_Master'!B17</f>
        <v/>
      </c>
      <c r="C19" s="11">
        <f>'02_Employee_Master'!D17</f>
        <v/>
      </c>
      <c r="D19" s="11">
        <f>'02_Employee_Master'!C17</f>
        <v/>
      </c>
      <c r="E19" s="60">
        <f>'W1_Roster'!E19</f>
        <v/>
      </c>
      <c r="F19" s="60">
        <f>'W1_Roster'!F19</f>
        <v/>
      </c>
      <c r="G19" s="60">
        <f>'W1_Roster'!G19</f>
        <v/>
      </c>
      <c r="H19" s="60">
        <f>'W1_Roster'!H19</f>
        <v/>
      </c>
      <c r="I19" s="60">
        <f>'W1_Roster'!I19</f>
        <v/>
      </c>
      <c r="J19" s="60">
        <f>'W1_Roster'!J19</f>
        <v/>
      </c>
      <c r="K19" s="60">
        <f>'W1_Roster'!K19</f>
        <v/>
      </c>
      <c r="L19" s="60">
        <f>'W2_Roster'!E19</f>
        <v/>
      </c>
      <c r="M19" s="60">
        <f>'W2_Roster'!F19</f>
        <v/>
      </c>
      <c r="N19" s="60">
        <f>'W2_Roster'!G19</f>
        <v/>
      </c>
      <c r="O19" s="60">
        <f>'W2_Roster'!H19</f>
        <v/>
      </c>
      <c r="P19" s="60">
        <f>'W2_Roster'!I19</f>
        <v/>
      </c>
      <c r="Q19" s="60">
        <f>'W2_Roster'!J19</f>
        <v/>
      </c>
      <c r="R19" s="60">
        <f>'W2_Roster'!K19</f>
        <v/>
      </c>
      <c r="S19" s="60">
        <f>'W3_Roster'!E19</f>
        <v/>
      </c>
      <c r="T19" s="60">
        <f>'W3_Roster'!F19</f>
        <v/>
      </c>
      <c r="U19" s="60">
        <f>'W3_Roster'!G19</f>
        <v/>
      </c>
      <c r="V19" s="60">
        <f>'W3_Roster'!H19</f>
        <v/>
      </c>
      <c r="W19" s="60">
        <f>'W3_Roster'!I19</f>
        <v/>
      </c>
      <c r="X19" s="60">
        <f>'W3_Roster'!J19</f>
        <v/>
      </c>
      <c r="Y19" s="60">
        <f>'W3_Roster'!K19</f>
        <v/>
      </c>
      <c r="Z19" s="60">
        <f>'W4_Roster'!E19</f>
        <v/>
      </c>
      <c r="AA19" s="60">
        <f>'W4_Roster'!F19</f>
        <v/>
      </c>
      <c r="AB19" s="60">
        <f>'W4_Roster'!G19</f>
        <v/>
      </c>
      <c r="AC19" s="60">
        <f>'W4_Roster'!H19</f>
        <v/>
      </c>
      <c r="AD19" s="60">
        <f>'W4_Roster'!I19</f>
        <v/>
      </c>
      <c r="AE19" s="60">
        <f>'W4_Roster'!J19</f>
        <v/>
      </c>
      <c r="AF19" s="60">
        <f>'W4_Roster'!K19</f>
        <v/>
      </c>
      <c r="AG19" s="60">
        <f>'W5_Roster'!E19</f>
        <v/>
      </c>
      <c r="AH19" s="60">
        <f>'W5_Roster'!F19</f>
        <v/>
      </c>
      <c r="AI19" s="60">
        <f>'W5_Roster'!G19</f>
        <v/>
      </c>
      <c r="AJ19" s="33">
        <f>COUNTIF(E19:AI19,"WO")</f>
        <v/>
      </c>
      <c r="AK19" s="33" t="n">
        <v>0</v>
      </c>
      <c r="AL19" s="33" t="inlineStr"/>
      <c r="AM19" s="33" t="inlineStr"/>
      <c r="AN19" s="33" t="inlineStr"/>
    </row>
    <row r="20" ht="18" customHeight="1">
      <c r="A20" s="30">
        <f>'02_Employee_Master'!A18</f>
        <v/>
      </c>
      <c r="B20" s="9">
        <f>'02_Employee_Master'!B18</f>
        <v/>
      </c>
      <c r="C20" s="9">
        <f>'02_Employee_Master'!D18</f>
        <v/>
      </c>
      <c r="D20" s="9">
        <f>'02_Employee_Master'!C18</f>
        <v/>
      </c>
      <c r="E20" s="59">
        <f>'W1_Roster'!E20</f>
        <v/>
      </c>
      <c r="F20" s="59">
        <f>'W1_Roster'!F20</f>
        <v/>
      </c>
      <c r="G20" s="59">
        <f>'W1_Roster'!G20</f>
        <v/>
      </c>
      <c r="H20" s="59">
        <f>'W1_Roster'!H20</f>
        <v/>
      </c>
      <c r="I20" s="59">
        <f>'W1_Roster'!I20</f>
        <v/>
      </c>
      <c r="J20" s="59">
        <f>'W1_Roster'!J20</f>
        <v/>
      </c>
      <c r="K20" s="59">
        <f>'W1_Roster'!K20</f>
        <v/>
      </c>
      <c r="L20" s="59">
        <f>'W2_Roster'!E20</f>
        <v/>
      </c>
      <c r="M20" s="59">
        <f>'W2_Roster'!F20</f>
        <v/>
      </c>
      <c r="N20" s="59">
        <f>'W2_Roster'!G20</f>
        <v/>
      </c>
      <c r="O20" s="59">
        <f>'W2_Roster'!H20</f>
        <v/>
      </c>
      <c r="P20" s="59">
        <f>'W2_Roster'!I20</f>
        <v/>
      </c>
      <c r="Q20" s="59">
        <f>'W2_Roster'!J20</f>
        <v/>
      </c>
      <c r="R20" s="59">
        <f>'W2_Roster'!K20</f>
        <v/>
      </c>
      <c r="S20" s="59">
        <f>'W3_Roster'!E20</f>
        <v/>
      </c>
      <c r="T20" s="59">
        <f>'W3_Roster'!F20</f>
        <v/>
      </c>
      <c r="U20" s="59">
        <f>'W3_Roster'!G20</f>
        <v/>
      </c>
      <c r="V20" s="59">
        <f>'W3_Roster'!H20</f>
        <v/>
      </c>
      <c r="W20" s="59">
        <f>'W3_Roster'!I20</f>
        <v/>
      </c>
      <c r="X20" s="59">
        <f>'W3_Roster'!J20</f>
        <v/>
      </c>
      <c r="Y20" s="59">
        <f>'W3_Roster'!K20</f>
        <v/>
      </c>
      <c r="Z20" s="59">
        <f>'W4_Roster'!E20</f>
        <v/>
      </c>
      <c r="AA20" s="59">
        <f>'W4_Roster'!F20</f>
        <v/>
      </c>
      <c r="AB20" s="59">
        <f>'W4_Roster'!G20</f>
        <v/>
      </c>
      <c r="AC20" s="59">
        <f>'W4_Roster'!H20</f>
        <v/>
      </c>
      <c r="AD20" s="59">
        <f>'W4_Roster'!I20</f>
        <v/>
      </c>
      <c r="AE20" s="59">
        <f>'W4_Roster'!J20</f>
        <v/>
      </c>
      <c r="AF20" s="59">
        <f>'W4_Roster'!K20</f>
        <v/>
      </c>
      <c r="AG20" s="59">
        <f>'W5_Roster'!E20</f>
        <v/>
      </c>
      <c r="AH20" s="59">
        <f>'W5_Roster'!F20</f>
        <v/>
      </c>
      <c r="AI20" s="59">
        <f>'W5_Roster'!G20</f>
        <v/>
      </c>
      <c r="AJ20" s="30">
        <f>COUNTIF(E20:AI20,"WO")</f>
        <v/>
      </c>
      <c r="AK20" s="30" t="n">
        <v>0</v>
      </c>
      <c r="AL20" s="30" t="inlineStr">
        <is>
          <t>Deepak Joshi</t>
        </is>
      </c>
      <c r="AM20" s="30" t="inlineStr"/>
      <c r="AN20" s="30" t="inlineStr"/>
    </row>
    <row r="21" ht="18" customHeight="1">
      <c r="A21" s="33">
        <f>'02_Employee_Master'!A19</f>
        <v/>
      </c>
      <c r="B21" s="11">
        <f>'02_Employee_Master'!B19</f>
        <v/>
      </c>
      <c r="C21" s="11">
        <f>'02_Employee_Master'!D19</f>
        <v/>
      </c>
      <c r="D21" s="11">
        <f>'02_Employee_Master'!C19</f>
        <v/>
      </c>
      <c r="E21" s="60">
        <f>'W1_Roster'!E21</f>
        <v/>
      </c>
      <c r="F21" s="60">
        <f>'W1_Roster'!F21</f>
        <v/>
      </c>
      <c r="G21" s="60">
        <f>'W1_Roster'!G21</f>
        <v/>
      </c>
      <c r="H21" s="60">
        <f>'W1_Roster'!H21</f>
        <v/>
      </c>
      <c r="I21" s="60">
        <f>'W1_Roster'!I21</f>
        <v/>
      </c>
      <c r="J21" s="60">
        <f>'W1_Roster'!J21</f>
        <v/>
      </c>
      <c r="K21" s="60">
        <f>'W1_Roster'!K21</f>
        <v/>
      </c>
      <c r="L21" s="60">
        <f>'W2_Roster'!E21</f>
        <v/>
      </c>
      <c r="M21" s="60">
        <f>'W2_Roster'!F21</f>
        <v/>
      </c>
      <c r="N21" s="60">
        <f>'W2_Roster'!G21</f>
        <v/>
      </c>
      <c r="O21" s="60">
        <f>'W2_Roster'!H21</f>
        <v/>
      </c>
      <c r="P21" s="60">
        <f>'W2_Roster'!I21</f>
        <v/>
      </c>
      <c r="Q21" s="60">
        <f>'W2_Roster'!J21</f>
        <v/>
      </c>
      <c r="R21" s="60">
        <f>'W2_Roster'!K21</f>
        <v/>
      </c>
      <c r="S21" s="60">
        <f>'W3_Roster'!E21</f>
        <v/>
      </c>
      <c r="T21" s="60">
        <f>'W3_Roster'!F21</f>
        <v/>
      </c>
      <c r="U21" s="60">
        <f>'W3_Roster'!G21</f>
        <v/>
      </c>
      <c r="V21" s="60">
        <f>'W3_Roster'!H21</f>
        <v/>
      </c>
      <c r="W21" s="60">
        <f>'W3_Roster'!I21</f>
        <v/>
      </c>
      <c r="X21" s="60">
        <f>'W3_Roster'!J21</f>
        <v/>
      </c>
      <c r="Y21" s="60">
        <f>'W3_Roster'!K21</f>
        <v/>
      </c>
      <c r="Z21" s="60">
        <f>'W4_Roster'!E21</f>
        <v/>
      </c>
      <c r="AA21" s="60">
        <f>'W4_Roster'!F21</f>
        <v/>
      </c>
      <c r="AB21" s="60">
        <f>'W4_Roster'!G21</f>
        <v/>
      </c>
      <c r="AC21" s="60">
        <f>'W4_Roster'!H21</f>
        <v/>
      </c>
      <c r="AD21" s="60">
        <f>'W4_Roster'!I21</f>
        <v/>
      </c>
      <c r="AE21" s="60">
        <f>'W4_Roster'!J21</f>
        <v/>
      </c>
      <c r="AF21" s="60">
        <f>'W4_Roster'!K21</f>
        <v/>
      </c>
      <c r="AG21" s="60">
        <f>'W5_Roster'!E21</f>
        <v/>
      </c>
      <c r="AH21" s="60">
        <f>'W5_Roster'!F21</f>
        <v/>
      </c>
      <c r="AI21" s="60">
        <f>'W5_Roster'!G21</f>
        <v/>
      </c>
      <c r="AJ21" s="33">
        <f>COUNTIF(E21:AI21,"WO")</f>
        <v/>
      </c>
      <c r="AK21" s="33" t="n">
        <v>0</v>
      </c>
      <c r="AL21" s="33" t="inlineStr"/>
      <c r="AM21" s="33" t="inlineStr"/>
      <c r="AN21" s="33" t="inlineStr"/>
    </row>
    <row r="22" ht="18" customHeight="1">
      <c r="A22" s="30">
        <f>'02_Employee_Master'!A20</f>
        <v/>
      </c>
      <c r="B22" s="9">
        <f>'02_Employee_Master'!B20</f>
        <v/>
      </c>
      <c r="C22" s="9">
        <f>'02_Employee_Master'!D20</f>
        <v/>
      </c>
      <c r="D22" s="9">
        <f>'02_Employee_Master'!C20</f>
        <v/>
      </c>
      <c r="E22" s="59">
        <f>'W1_Roster'!E22</f>
        <v/>
      </c>
      <c r="F22" s="59">
        <f>'W1_Roster'!F22</f>
        <v/>
      </c>
      <c r="G22" s="59">
        <f>'W1_Roster'!G22</f>
        <v/>
      </c>
      <c r="H22" s="59">
        <f>'W1_Roster'!H22</f>
        <v/>
      </c>
      <c r="I22" s="59">
        <f>'W1_Roster'!I22</f>
        <v/>
      </c>
      <c r="J22" s="59">
        <f>'W1_Roster'!J22</f>
        <v/>
      </c>
      <c r="K22" s="59">
        <f>'W1_Roster'!K22</f>
        <v/>
      </c>
      <c r="L22" s="59">
        <f>'W2_Roster'!E22</f>
        <v/>
      </c>
      <c r="M22" s="59">
        <f>'W2_Roster'!F22</f>
        <v/>
      </c>
      <c r="N22" s="59">
        <f>'W2_Roster'!G22</f>
        <v/>
      </c>
      <c r="O22" s="59">
        <f>'W2_Roster'!H22</f>
        <v/>
      </c>
      <c r="P22" s="59">
        <f>'W2_Roster'!I22</f>
        <v/>
      </c>
      <c r="Q22" s="59">
        <f>'W2_Roster'!J22</f>
        <v/>
      </c>
      <c r="R22" s="59">
        <f>'W2_Roster'!K22</f>
        <v/>
      </c>
      <c r="S22" s="59">
        <f>'W3_Roster'!E22</f>
        <v/>
      </c>
      <c r="T22" s="59">
        <f>'W3_Roster'!F22</f>
        <v/>
      </c>
      <c r="U22" s="59">
        <f>'W3_Roster'!G22</f>
        <v/>
      </c>
      <c r="V22" s="59">
        <f>'W3_Roster'!H22</f>
        <v/>
      </c>
      <c r="W22" s="59">
        <f>'W3_Roster'!I22</f>
        <v/>
      </c>
      <c r="X22" s="59">
        <f>'W3_Roster'!J22</f>
        <v/>
      </c>
      <c r="Y22" s="59">
        <f>'W3_Roster'!K22</f>
        <v/>
      </c>
      <c r="Z22" s="59">
        <f>'W4_Roster'!E22</f>
        <v/>
      </c>
      <c r="AA22" s="59">
        <f>'W4_Roster'!F22</f>
        <v/>
      </c>
      <c r="AB22" s="59">
        <f>'W4_Roster'!G22</f>
        <v/>
      </c>
      <c r="AC22" s="59">
        <f>'W4_Roster'!H22</f>
        <v/>
      </c>
      <c r="AD22" s="59">
        <f>'W4_Roster'!I22</f>
        <v/>
      </c>
      <c r="AE22" s="59">
        <f>'W4_Roster'!J22</f>
        <v/>
      </c>
      <c r="AF22" s="59">
        <f>'W4_Roster'!K22</f>
        <v/>
      </c>
      <c r="AG22" s="59">
        <f>'W5_Roster'!E22</f>
        <v/>
      </c>
      <c r="AH22" s="59">
        <f>'W5_Roster'!F22</f>
        <v/>
      </c>
      <c r="AI22" s="59">
        <f>'W5_Roster'!G22</f>
        <v/>
      </c>
      <c r="AJ22" s="30">
        <f>COUNTIF(E22:AI22,"WO")</f>
        <v/>
      </c>
      <c r="AK22" s="30" t="n">
        <v>0</v>
      </c>
      <c r="AL22" s="30" t="inlineStr"/>
      <c r="AM22" s="30" t="inlineStr"/>
      <c r="AN22" s="30" t="inlineStr"/>
    </row>
    <row r="23" ht="18" customHeight="1">
      <c r="A23" s="33">
        <f>'02_Employee_Master'!A21</f>
        <v/>
      </c>
      <c r="B23" s="11">
        <f>'02_Employee_Master'!B21</f>
        <v/>
      </c>
      <c r="C23" s="11">
        <f>'02_Employee_Master'!D21</f>
        <v/>
      </c>
      <c r="D23" s="11">
        <f>'02_Employee_Master'!C21</f>
        <v/>
      </c>
      <c r="E23" s="60">
        <f>'W1_Roster'!E23</f>
        <v/>
      </c>
      <c r="F23" s="60">
        <f>'W1_Roster'!F23</f>
        <v/>
      </c>
      <c r="G23" s="60">
        <f>'W1_Roster'!G23</f>
        <v/>
      </c>
      <c r="H23" s="60">
        <f>'W1_Roster'!H23</f>
        <v/>
      </c>
      <c r="I23" s="60">
        <f>'W1_Roster'!I23</f>
        <v/>
      </c>
      <c r="J23" s="60">
        <f>'W1_Roster'!J23</f>
        <v/>
      </c>
      <c r="K23" s="60">
        <f>'W1_Roster'!K23</f>
        <v/>
      </c>
      <c r="L23" s="60">
        <f>'W2_Roster'!E23</f>
        <v/>
      </c>
      <c r="M23" s="60">
        <f>'W2_Roster'!F23</f>
        <v/>
      </c>
      <c r="N23" s="60">
        <f>'W2_Roster'!G23</f>
        <v/>
      </c>
      <c r="O23" s="60">
        <f>'W2_Roster'!H23</f>
        <v/>
      </c>
      <c r="P23" s="60">
        <f>'W2_Roster'!I23</f>
        <v/>
      </c>
      <c r="Q23" s="60">
        <f>'W2_Roster'!J23</f>
        <v/>
      </c>
      <c r="R23" s="60">
        <f>'W2_Roster'!K23</f>
        <v/>
      </c>
      <c r="S23" s="60">
        <f>'W3_Roster'!E23</f>
        <v/>
      </c>
      <c r="T23" s="60">
        <f>'W3_Roster'!F23</f>
        <v/>
      </c>
      <c r="U23" s="60">
        <f>'W3_Roster'!G23</f>
        <v/>
      </c>
      <c r="V23" s="60">
        <f>'W3_Roster'!H23</f>
        <v/>
      </c>
      <c r="W23" s="60">
        <f>'W3_Roster'!I23</f>
        <v/>
      </c>
      <c r="X23" s="60">
        <f>'W3_Roster'!J23</f>
        <v/>
      </c>
      <c r="Y23" s="60">
        <f>'W3_Roster'!K23</f>
        <v/>
      </c>
      <c r="Z23" s="60">
        <f>'W4_Roster'!E23</f>
        <v/>
      </c>
      <c r="AA23" s="60">
        <f>'W4_Roster'!F23</f>
        <v/>
      </c>
      <c r="AB23" s="60">
        <f>'W4_Roster'!G23</f>
        <v/>
      </c>
      <c r="AC23" s="60">
        <f>'W4_Roster'!H23</f>
        <v/>
      </c>
      <c r="AD23" s="60">
        <f>'W4_Roster'!I23</f>
        <v/>
      </c>
      <c r="AE23" s="60">
        <f>'W4_Roster'!J23</f>
        <v/>
      </c>
      <c r="AF23" s="60">
        <f>'W4_Roster'!K23</f>
        <v/>
      </c>
      <c r="AG23" s="60">
        <f>'W5_Roster'!E23</f>
        <v/>
      </c>
      <c r="AH23" s="60">
        <f>'W5_Roster'!F23</f>
        <v/>
      </c>
      <c r="AI23" s="60">
        <f>'W5_Roster'!G23</f>
        <v/>
      </c>
      <c r="AJ23" s="33">
        <f>COUNTIF(E23:AI23,"WO")</f>
        <v/>
      </c>
      <c r="AK23" s="33" t="n">
        <v>0</v>
      </c>
      <c r="AL23" s="33" t="inlineStr"/>
      <c r="AM23" s="33" t="inlineStr"/>
      <c r="AN23" s="33" t="inlineStr"/>
    </row>
    <row r="24" ht="18" customHeight="1">
      <c r="A24" s="30">
        <f>'02_Employee_Master'!A22</f>
        <v/>
      </c>
      <c r="B24" s="9">
        <f>'02_Employee_Master'!B22</f>
        <v/>
      </c>
      <c r="C24" s="9">
        <f>'02_Employee_Master'!D22</f>
        <v/>
      </c>
      <c r="D24" s="9">
        <f>'02_Employee_Master'!C22</f>
        <v/>
      </c>
      <c r="E24" s="59">
        <f>'W1_Roster'!E24</f>
        <v/>
      </c>
      <c r="F24" s="59">
        <f>'W1_Roster'!F24</f>
        <v/>
      </c>
      <c r="G24" s="59">
        <f>'W1_Roster'!G24</f>
        <v/>
      </c>
      <c r="H24" s="59">
        <f>'W1_Roster'!H24</f>
        <v/>
      </c>
      <c r="I24" s="59">
        <f>'W1_Roster'!I24</f>
        <v/>
      </c>
      <c r="J24" s="59">
        <f>'W1_Roster'!J24</f>
        <v/>
      </c>
      <c r="K24" s="59">
        <f>'W1_Roster'!K24</f>
        <v/>
      </c>
      <c r="L24" s="59">
        <f>'W2_Roster'!E24</f>
        <v/>
      </c>
      <c r="M24" s="59">
        <f>'W2_Roster'!F24</f>
        <v/>
      </c>
      <c r="N24" s="59">
        <f>'W2_Roster'!G24</f>
        <v/>
      </c>
      <c r="O24" s="59">
        <f>'W2_Roster'!H24</f>
        <v/>
      </c>
      <c r="P24" s="59">
        <f>'W2_Roster'!I24</f>
        <v/>
      </c>
      <c r="Q24" s="59">
        <f>'W2_Roster'!J24</f>
        <v/>
      </c>
      <c r="R24" s="59">
        <f>'W2_Roster'!K24</f>
        <v/>
      </c>
      <c r="S24" s="59">
        <f>'W3_Roster'!E24</f>
        <v/>
      </c>
      <c r="T24" s="59">
        <f>'W3_Roster'!F24</f>
        <v/>
      </c>
      <c r="U24" s="59">
        <f>'W3_Roster'!G24</f>
        <v/>
      </c>
      <c r="V24" s="59">
        <f>'W3_Roster'!H24</f>
        <v/>
      </c>
      <c r="W24" s="59">
        <f>'W3_Roster'!I24</f>
        <v/>
      </c>
      <c r="X24" s="59">
        <f>'W3_Roster'!J24</f>
        <v/>
      </c>
      <c r="Y24" s="59">
        <f>'W3_Roster'!K24</f>
        <v/>
      </c>
      <c r="Z24" s="59">
        <f>'W4_Roster'!E24</f>
        <v/>
      </c>
      <c r="AA24" s="59">
        <f>'W4_Roster'!F24</f>
        <v/>
      </c>
      <c r="AB24" s="59">
        <f>'W4_Roster'!G24</f>
        <v/>
      </c>
      <c r="AC24" s="59">
        <f>'W4_Roster'!H24</f>
        <v/>
      </c>
      <c r="AD24" s="59">
        <f>'W4_Roster'!I24</f>
        <v/>
      </c>
      <c r="AE24" s="59">
        <f>'W4_Roster'!J24</f>
        <v/>
      </c>
      <c r="AF24" s="59">
        <f>'W4_Roster'!K24</f>
        <v/>
      </c>
      <c r="AG24" s="59">
        <f>'W5_Roster'!E24</f>
        <v/>
      </c>
      <c r="AH24" s="59">
        <f>'W5_Roster'!F24</f>
        <v/>
      </c>
      <c r="AI24" s="59">
        <f>'W5_Roster'!G24</f>
        <v/>
      </c>
      <c r="AJ24" s="30">
        <f>COUNTIF(E24:AI24,"WO")</f>
        <v/>
      </c>
      <c r="AK24" s="30" t="n">
        <v>0</v>
      </c>
      <c r="AL24" s="30" t="inlineStr"/>
      <c r="AM24" s="30" t="inlineStr"/>
      <c r="AN24" s="30" t="inlineStr"/>
    </row>
    <row r="25" ht="18" customHeight="1">
      <c r="A25" s="33">
        <f>'02_Employee_Master'!A23</f>
        <v/>
      </c>
      <c r="B25" s="11">
        <f>'02_Employee_Master'!B23</f>
        <v/>
      </c>
      <c r="C25" s="11">
        <f>'02_Employee_Master'!D23</f>
        <v/>
      </c>
      <c r="D25" s="11">
        <f>'02_Employee_Master'!C23</f>
        <v/>
      </c>
      <c r="E25" s="60">
        <f>'W1_Roster'!E25</f>
        <v/>
      </c>
      <c r="F25" s="60">
        <f>'W1_Roster'!F25</f>
        <v/>
      </c>
      <c r="G25" s="60">
        <f>'W1_Roster'!G25</f>
        <v/>
      </c>
      <c r="H25" s="60">
        <f>'W1_Roster'!H25</f>
        <v/>
      </c>
      <c r="I25" s="60">
        <f>'W1_Roster'!I25</f>
        <v/>
      </c>
      <c r="J25" s="60">
        <f>'W1_Roster'!J25</f>
        <v/>
      </c>
      <c r="K25" s="60">
        <f>'W1_Roster'!K25</f>
        <v/>
      </c>
      <c r="L25" s="60">
        <f>'W2_Roster'!E25</f>
        <v/>
      </c>
      <c r="M25" s="60">
        <f>'W2_Roster'!F25</f>
        <v/>
      </c>
      <c r="N25" s="60">
        <f>'W2_Roster'!G25</f>
        <v/>
      </c>
      <c r="O25" s="60">
        <f>'W2_Roster'!H25</f>
        <v/>
      </c>
      <c r="P25" s="60">
        <f>'W2_Roster'!I25</f>
        <v/>
      </c>
      <c r="Q25" s="60">
        <f>'W2_Roster'!J25</f>
        <v/>
      </c>
      <c r="R25" s="60">
        <f>'W2_Roster'!K25</f>
        <v/>
      </c>
      <c r="S25" s="60">
        <f>'W3_Roster'!E25</f>
        <v/>
      </c>
      <c r="T25" s="60">
        <f>'W3_Roster'!F25</f>
        <v/>
      </c>
      <c r="U25" s="60">
        <f>'W3_Roster'!G25</f>
        <v/>
      </c>
      <c r="V25" s="60">
        <f>'W3_Roster'!H25</f>
        <v/>
      </c>
      <c r="W25" s="60">
        <f>'W3_Roster'!I25</f>
        <v/>
      </c>
      <c r="X25" s="60">
        <f>'W3_Roster'!J25</f>
        <v/>
      </c>
      <c r="Y25" s="60">
        <f>'W3_Roster'!K25</f>
        <v/>
      </c>
      <c r="Z25" s="60">
        <f>'W4_Roster'!E25</f>
        <v/>
      </c>
      <c r="AA25" s="60">
        <f>'W4_Roster'!F25</f>
        <v/>
      </c>
      <c r="AB25" s="60">
        <f>'W4_Roster'!G25</f>
        <v/>
      </c>
      <c r="AC25" s="60">
        <f>'W4_Roster'!H25</f>
        <v/>
      </c>
      <c r="AD25" s="60">
        <f>'W4_Roster'!I25</f>
        <v/>
      </c>
      <c r="AE25" s="60">
        <f>'W4_Roster'!J25</f>
        <v/>
      </c>
      <c r="AF25" s="60">
        <f>'W4_Roster'!K25</f>
        <v/>
      </c>
      <c r="AG25" s="60">
        <f>'W5_Roster'!E25</f>
        <v/>
      </c>
      <c r="AH25" s="60">
        <f>'W5_Roster'!F25</f>
        <v/>
      </c>
      <c r="AI25" s="60">
        <f>'W5_Roster'!G25</f>
        <v/>
      </c>
      <c r="AJ25" s="33">
        <f>COUNTIF(E25:AI25,"WO")</f>
        <v/>
      </c>
      <c r="AK25" s="33" t="n">
        <v>0</v>
      </c>
      <c r="AL25" s="33" t="inlineStr"/>
      <c r="AM25" s="33" t="inlineStr"/>
      <c r="AN25" s="33" t="inlineStr"/>
    </row>
    <row r="26" ht="18" customHeight="1">
      <c r="A26" s="30">
        <f>'02_Employee_Master'!A24</f>
        <v/>
      </c>
      <c r="B26" s="9">
        <f>'02_Employee_Master'!B24</f>
        <v/>
      </c>
      <c r="C26" s="9">
        <f>'02_Employee_Master'!D24</f>
        <v/>
      </c>
      <c r="D26" s="9">
        <f>'02_Employee_Master'!C24</f>
        <v/>
      </c>
      <c r="E26" s="59">
        <f>'W1_Roster'!E26</f>
        <v/>
      </c>
      <c r="F26" s="59">
        <f>'W1_Roster'!F26</f>
        <v/>
      </c>
      <c r="G26" s="59">
        <f>'W1_Roster'!G26</f>
        <v/>
      </c>
      <c r="H26" s="59">
        <f>'W1_Roster'!H26</f>
        <v/>
      </c>
      <c r="I26" s="59">
        <f>'W1_Roster'!I26</f>
        <v/>
      </c>
      <c r="J26" s="59">
        <f>'W1_Roster'!J26</f>
        <v/>
      </c>
      <c r="K26" s="59">
        <f>'W1_Roster'!K26</f>
        <v/>
      </c>
      <c r="L26" s="59">
        <f>'W2_Roster'!E26</f>
        <v/>
      </c>
      <c r="M26" s="59">
        <f>'W2_Roster'!F26</f>
        <v/>
      </c>
      <c r="N26" s="59">
        <f>'W2_Roster'!G26</f>
        <v/>
      </c>
      <c r="O26" s="59">
        <f>'W2_Roster'!H26</f>
        <v/>
      </c>
      <c r="P26" s="59">
        <f>'W2_Roster'!I26</f>
        <v/>
      </c>
      <c r="Q26" s="59">
        <f>'W2_Roster'!J26</f>
        <v/>
      </c>
      <c r="R26" s="59">
        <f>'W2_Roster'!K26</f>
        <v/>
      </c>
      <c r="S26" s="59">
        <f>'W3_Roster'!E26</f>
        <v/>
      </c>
      <c r="T26" s="59">
        <f>'W3_Roster'!F26</f>
        <v/>
      </c>
      <c r="U26" s="59">
        <f>'W3_Roster'!G26</f>
        <v/>
      </c>
      <c r="V26" s="59">
        <f>'W3_Roster'!H26</f>
        <v/>
      </c>
      <c r="W26" s="59">
        <f>'W3_Roster'!I26</f>
        <v/>
      </c>
      <c r="X26" s="59">
        <f>'W3_Roster'!J26</f>
        <v/>
      </c>
      <c r="Y26" s="59">
        <f>'W3_Roster'!K26</f>
        <v/>
      </c>
      <c r="Z26" s="59">
        <f>'W4_Roster'!E26</f>
        <v/>
      </c>
      <c r="AA26" s="59">
        <f>'W4_Roster'!F26</f>
        <v/>
      </c>
      <c r="AB26" s="59">
        <f>'W4_Roster'!G26</f>
        <v/>
      </c>
      <c r="AC26" s="59">
        <f>'W4_Roster'!H26</f>
        <v/>
      </c>
      <c r="AD26" s="59">
        <f>'W4_Roster'!I26</f>
        <v/>
      </c>
      <c r="AE26" s="59">
        <f>'W4_Roster'!J26</f>
        <v/>
      </c>
      <c r="AF26" s="59">
        <f>'W4_Roster'!K26</f>
        <v/>
      </c>
      <c r="AG26" s="59">
        <f>'W5_Roster'!E26</f>
        <v/>
      </c>
      <c r="AH26" s="59">
        <f>'W5_Roster'!F26</f>
        <v/>
      </c>
      <c r="AI26" s="59">
        <f>'W5_Roster'!G26</f>
        <v/>
      </c>
      <c r="AJ26" s="30">
        <f>COUNTIF(E26:AI26,"WO")</f>
        <v/>
      </c>
      <c r="AK26" s="30" t="n">
        <v>0</v>
      </c>
      <c r="AL26" s="30" t="inlineStr">
        <is>
          <t>Thomas Mathew</t>
        </is>
      </c>
      <c r="AM26" s="30" t="inlineStr"/>
      <c r="AN26" s="30" t="inlineStr"/>
    </row>
    <row r="27" ht="18" customHeight="1">
      <c r="A27" s="33">
        <f>'02_Employee_Master'!A25</f>
        <v/>
      </c>
      <c r="B27" s="11">
        <f>'02_Employee_Master'!B25</f>
        <v/>
      </c>
      <c r="C27" s="11">
        <f>'02_Employee_Master'!D25</f>
        <v/>
      </c>
      <c r="D27" s="11">
        <f>'02_Employee_Master'!C25</f>
        <v/>
      </c>
      <c r="E27" s="60">
        <f>'W1_Roster'!E27</f>
        <v/>
      </c>
      <c r="F27" s="60">
        <f>'W1_Roster'!F27</f>
        <v/>
      </c>
      <c r="G27" s="60">
        <f>'W1_Roster'!G27</f>
        <v/>
      </c>
      <c r="H27" s="60">
        <f>'W1_Roster'!H27</f>
        <v/>
      </c>
      <c r="I27" s="60">
        <f>'W1_Roster'!I27</f>
        <v/>
      </c>
      <c r="J27" s="60">
        <f>'W1_Roster'!J27</f>
        <v/>
      </c>
      <c r="K27" s="60">
        <f>'W1_Roster'!K27</f>
        <v/>
      </c>
      <c r="L27" s="60">
        <f>'W2_Roster'!E27</f>
        <v/>
      </c>
      <c r="M27" s="60">
        <f>'W2_Roster'!F27</f>
        <v/>
      </c>
      <c r="N27" s="60">
        <f>'W2_Roster'!G27</f>
        <v/>
      </c>
      <c r="O27" s="60">
        <f>'W2_Roster'!H27</f>
        <v/>
      </c>
      <c r="P27" s="60">
        <f>'W2_Roster'!I27</f>
        <v/>
      </c>
      <c r="Q27" s="60">
        <f>'W2_Roster'!J27</f>
        <v/>
      </c>
      <c r="R27" s="60">
        <f>'W2_Roster'!K27</f>
        <v/>
      </c>
      <c r="S27" s="60">
        <f>'W3_Roster'!E27</f>
        <v/>
      </c>
      <c r="T27" s="60">
        <f>'W3_Roster'!F27</f>
        <v/>
      </c>
      <c r="U27" s="60">
        <f>'W3_Roster'!G27</f>
        <v/>
      </c>
      <c r="V27" s="60">
        <f>'W3_Roster'!H27</f>
        <v/>
      </c>
      <c r="W27" s="60">
        <f>'W3_Roster'!I27</f>
        <v/>
      </c>
      <c r="X27" s="60">
        <f>'W3_Roster'!J27</f>
        <v/>
      </c>
      <c r="Y27" s="60">
        <f>'W3_Roster'!K27</f>
        <v/>
      </c>
      <c r="Z27" s="60">
        <f>'W4_Roster'!E27</f>
        <v/>
      </c>
      <c r="AA27" s="60">
        <f>'W4_Roster'!F27</f>
        <v/>
      </c>
      <c r="AB27" s="60">
        <f>'W4_Roster'!G27</f>
        <v/>
      </c>
      <c r="AC27" s="60">
        <f>'W4_Roster'!H27</f>
        <v/>
      </c>
      <c r="AD27" s="60">
        <f>'W4_Roster'!I27</f>
        <v/>
      </c>
      <c r="AE27" s="60">
        <f>'W4_Roster'!J27</f>
        <v/>
      </c>
      <c r="AF27" s="60">
        <f>'W4_Roster'!K27</f>
        <v/>
      </c>
      <c r="AG27" s="60">
        <f>'W5_Roster'!E27</f>
        <v/>
      </c>
      <c r="AH27" s="60">
        <f>'W5_Roster'!F27</f>
        <v/>
      </c>
      <c r="AI27" s="60">
        <f>'W5_Roster'!G27</f>
        <v/>
      </c>
      <c r="AJ27" s="33">
        <f>COUNTIF(E27:AI27,"WO")</f>
        <v/>
      </c>
      <c r="AK27" s="33" t="inlineStr"/>
      <c r="AL27" s="33" t="inlineStr"/>
      <c r="AM27" s="33" t="inlineStr"/>
      <c r="AN27" s="33" t="inlineStr"/>
    </row>
    <row r="28">
      <c r="A28" s="61" t="inlineStr">
        <is>
          <t>Morning (M) headcount</t>
        </is>
      </c>
      <c r="B28" s="13" t="n"/>
      <c r="C28" s="13" t="n"/>
      <c r="D28" s="13" t="n"/>
      <c r="E28" s="58">
        <f>IF(E$6&gt;DAY(DATE($D$5,$B$5+1,0)),"",COUNTIF(E8:E27,"M"))</f>
        <v/>
      </c>
      <c r="F28" s="58">
        <f>IF(F$6&gt;DAY(DATE($D$5,$B$5+1,0)),"",COUNTIF(F8:F27,"M"))</f>
        <v/>
      </c>
      <c r="G28" s="58">
        <f>IF(G$6&gt;DAY(DATE($D$5,$B$5+1,0)),"",COUNTIF(G8:G27,"M"))</f>
        <v/>
      </c>
      <c r="H28" s="58">
        <f>IF(H$6&gt;DAY(DATE($D$5,$B$5+1,0)),"",COUNTIF(H8:H27,"M"))</f>
        <v/>
      </c>
      <c r="I28" s="58">
        <f>IF(I$6&gt;DAY(DATE($D$5,$B$5+1,0)),"",COUNTIF(I8:I27,"M"))</f>
        <v/>
      </c>
      <c r="J28" s="58">
        <f>IF(J$6&gt;DAY(DATE($D$5,$B$5+1,0)),"",COUNTIF(J8:J27,"M"))</f>
        <v/>
      </c>
      <c r="K28" s="58">
        <f>IF(K$6&gt;DAY(DATE($D$5,$B$5+1,0)),"",COUNTIF(K8:K27,"M"))</f>
        <v/>
      </c>
      <c r="L28" s="58">
        <f>IF(L$6&gt;DAY(DATE($D$5,$B$5+1,0)),"",COUNTIF(L8:L27,"M"))</f>
        <v/>
      </c>
      <c r="M28" s="58">
        <f>IF(M$6&gt;DAY(DATE($D$5,$B$5+1,0)),"",COUNTIF(M8:M27,"M"))</f>
        <v/>
      </c>
      <c r="N28" s="58">
        <f>IF(N$6&gt;DAY(DATE($D$5,$B$5+1,0)),"",COUNTIF(N8:N27,"M"))</f>
        <v/>
      </c>
      <c r="O28" s="58">
        <f>IF(O$6&gt;DAY(DATE($D$5,$B$5+1,0)),"",COUNTIF(O8:O27,"M"))</f>
        <v/>
      </c>
      <c r="P28" s="58">
        <f>IF(P$6&gt;DAY(DATE($D$5,$B$5+1,0)),"",COUNTIF(P8:P27,"M"))</f>
        <v/>
      </c>
      <c r="Q28" s="58">
        <f>IF(Q$6&gt;DAY(DATE($D$5,$B$5+1,0)),"",COUNTIF(Q8:Q27,"M"))</f>
        <v/>
      </c>
      <c r="R28" s="58">
        <f>IF(R$6&gt;DAY(DATE($D$5,$B$5+1,0)),"",COUNTIF(R8:R27,"M"))</f>
        <v/>
      </c>
      <c r="S28" s="58">
        <f>IF(S$6&gt;DAY(DATE($D$5,$B$5+1,0)),"",COUNTIF(S8:S27,"M"))</f>
        <v/>
      </c>
      <c r="T28" s="58">
        <f>IF(T$6&gt;DAY(DATE($D$5,$B$5+1,0)),"",COUNTIF(T8:T27,"M"))</f>
        <v/>
      </c>
      <c r="U28" s="58">
        <f>IF(U$6&gt;DAY(DATE($D$5,$B$5+1,0)),"",COUNTIF(U8:U27,"M"))</f>
        <v/>
      </c>
      <c r="V28" s="58">
        <f>IF(V$6&gt;DAY(DATE($D$5,$B$5+1,0)),"",COUNTIF(V8:V27,"M"))</f>
        <v/>
      </c>
      <c r="W28" s="58">
        <f>IF(W$6&gt;DAY(DATE($D$5,$B$5+1,0)),"",COUNTIF(W8:W27,"M"))</f>
        <v/>
      </c>
      <c r="X28" s="58">
        <f>IF(X$6&gt;DAY(DATE($D$5,$B$5+1,0)),"",COUNTIF(X8:X27,"M"))</f>
        <v/>
      </c>
      <c r="Y28" s="58">
        <f>IF(Y$6&gt;DAY(DATE($D$5,$B$5+1,0)),"",COUNTIF(Y8:Y27,"M"))</f>
        <v/>
      </c>
      <c r="Z28" s="58">
        <f>IF(Z$6&gt;DAY(DATE($D$5,$B$5+1,0)),"",COUNTIF(Z8:Z27,"M"))</f>
        <v/>
      </c>
      <c r="AA28" s="58">
        <f>IF(AA$6&gt;DAY(DATE($D$5,$B$5+1,0)),"",COUNTIF(AA8:AA27,"M"))</f>
        <v/>
      </c>
      <c r="AB28" s="58">
        <f>IF(AB$6&gt;DAY(DATE($D$5,$B$5+1,0)),"",COUNTIF(AB8:AB27,"M"))</f>
        <v/>
      </c>
      <c r="AC28" s="58">
        <f>IF(AC$6&gt;DAY(DATE($D$5,$B$5+1,0)),"",COUNTIF(AC8:AC27,"M"))</f>
        <v/>
      </c>
      <c r="AD28" s="58">
        <f>IF(AD$6&gt;DAY(DATE($D$5,$B$5+1,0)),"",COUNTIF(AD8:AD27,"M"))</f>
        <v/>
      </c>
      <c r="AE28" s="58">
        <f>IF(AE$6&gt;DAY(DATE($D$5,$B$5+1,0)),"",COUNTIF(AE8:AE27,"M"))</f>
        <v/>
      </c>
      <c r="AF28" s="58">
        <f>IF(AF$6&gt;DAY(DATE($D$5,$B$5+1,0)),"",COUNTIF(AF8:AF27,"M"))</f>
        <v/>
      </c>
      <c r="AG28" s="58">
        <f>IF(AG$6&gt;DAY(DATE($D$5,$B$5+1,0)),"",COUNTIF(AG8:AG27,"M"))</f>
        <v/>
      </c>
      <c r="AH28" s="58">
        <f>IF(AH$6&gt;DAY(DATE($D$5,$B$5+1,0)),"",COUNTIF(AH8:AH27,"M"))</f>
        <v/>
      </c>
      <c r="AI28" s="58">
        <f>IF(AI$6&gt;DAY(DATE($D$5,$B$5+1,0)),"",COUNTIF(AI8:AI27,"M"))</f>
        <v/>
      </c>
    </row>
    <row r="29">
      <c r="A29" s="62" t="inlineStr">
        <is>
          <t>Evening (E) headcount</t>
        </is>
      </c>
      <c r="B29" s="6" t="n"/>
      <c r="C29" s="6" t="n"/>
      <c r="D29" s="6" t="n"/>
      <c r="E29" s="63">
        <f>IF(E$6&gt;DAY(DATE($D$5,$B$5+1,0)),"",COUNTIF(E8:E27,"E"))</f>
        <v/>
      </c>
      <c r="F29" s="63">
        <f>IF(F$6&gt;DAY(DATE($D$5,$B$5+1,0)),"",COUNTIF(F8:F27,"E"))</f>
        <v/>
      </c>
      <c r="G29" s="63">
        <f>IF(G$6&gt;DAY(DATE($D$5,$B$5+1,0)),"",COUNTIF(G8:G27,"E"))</f>
        <v/>
      </c>
      <c r="H29" s="63">
        <f>IF(H$6&gt;DAY(DATE($D$5,$B$5+1,0)),"",COUNTIF(H8:H27,"E"))</f>
        <v/>
      </c>
      <c r="I29" s="63">
        <f>IF(I$6&gt;DAY(DATE($D$5,$B$5+1,0)),"",COUNTIF(I8:I27,"E"))</f>
        <v/>
      </c>
      <c r="J29" s="63">
        <f>IF(J$6&gt;DAY(DATE($D$5,$B$5+1,0)),"",COUNTIF(J8:J27,"E"))</f>
        <v/>
      </c>
      <c r="K29" s="63">
        <f>IF(K$6&gt;DAY(DATE($D$5,$B$5+1,0)),"",COUNTIF(K8:K27,"E"))</f>
        <v/>
      </c>
      <c r="L29" s="63">
        <f>IF(L$6&gt;DAY(DATE($D$5,$B$5+1,0)),"",COUNTIF(L8:L27,"E"))</f>
        <v/>
      </c>
      <c r="M29" s="63">
        <f>IF(M$6&gt;DAY(DATE($D$5,$B$5+1,0)),"",COUNTIF(M8:M27,"E"))</f>
        <v/>
      </c>
      <c r="N29" s="63">
        <f>IF(N$6&gt;DAY(DATE($D$5,$B$5+1,0)),"",COUNTIF(N8:N27,"E"))</f>
        <v/>
      </c>
      <c r="O29" s="63">
        <f>IF(O$6&gt;DAY(DATE($D$5,$B$5+1,0)),"",COUNTIF(O8:O27,"E"))</f>
        <v/>
      </c>
      <c r="P29" s="63">
        <f>IF(P$6&gt;DAY(DATE($D$5,$B$5+1,0)),"",COUNTIF(P8:P27,"E"))</f>
        <v/>
      </c>
      <c r="Q29" s="63">
        <f>IF(Q$6&gt;DAY(DATE($D$5,$B$5+1,0)),"",COUNTIF(Q8:Q27,"E"))</f>
        <v/>
      </c>
      <c r="R29" s="63">
        <f>IF(R$6&gt;DAY(DATE($D$5,$B$5+1,0)),"",COUNTIF(R8:R27,"E"))</f>
        <v/>
      </c>
      <c r="S29" s="63">
        <f>IF(S$6&gt;DAY(DATE($D$5,$B$5+1,0)),"",COUNTIF(S8:S27,"E"))</f>
        <v/>
      </c>
      <c r="T29" s="63">
        <f>IF(T$6&gt;DAY(DATE($D$5,$B$5+1,0)),"",COUNTIF(T8:T27,"E"))</f>
        <v/>
      </c>
      <c r="U29" s="63">
        <f>IF(U$6&gt;DAY(DATE($D$5,$B$5+1,0)),"",COUNTIF(U8:U27,"E"))</f>
        <v/>
      </c>
      <c r="V29" s="63">
        <f>IF(V$6&gt;DAY(DATE($D$5,$B$5+1,0)),"",COUNTIF(V8:V27,"E"))</f>
        <v/>
      </c>
      <c r="W29" s="63">
        <f>IF(W$6&gt;DAY(DATE($D$5,$B$5+1,0)),"",COUNTIF(W8:W27,"E"))</f>
        <v/>
      </c>
      <c r="X29" s="63">
        <f>IF(X$6&gt;DAY(DATE($D$5,$B$5+1,0)),"",COUNTIF(X8:X27,"E"))</f>
        <v/>
      </c>
      <c r="Y29" s="63">
        <f>IF(Y$6&gt;DAY(DATE($D$5,$B$5+1,0)),"",COUNTIF(Y8:Y27,"E"))</f>
        <v/>
      </c>
      <c r="Z29" s="63">
        <f>IF(Z$6&gt;DAY(DATE($D$5,$B$5+1,0)),"",COUNTIF(Z8:Z27,"E"))</f>
        <v/>
      </c>
      <c r="AA29" s="63">
        <f>IF(AA$6&gt;DAY(DATE($D$5,$B$5+1,0)),"",COUNTIF(AA8:AA27,"E"))</f>
        <v/>
      </c>
      <c r="AB29" s="63">
        <f>IF(AB$6&gt;DAY(DATE($D$5,$B$5+1,0)),"",COUNTIF(AB8:AB27,"E"))</f>
        <v/>
      </c>
      <c r="AC29" s="63">
        <f>IF(AC$6&gt;DAY(DATE($D$5,$B$5+1,0)),"",COUNTIF(AC8:AC27,"E"))</f>
        <v/>
      </c>
      <c r="AD29" s="63">
        <f>IF(AD$6&gt;DAY(DATE($D$5,$B$5+1,0)),"",COUNTIF(AD8:AD27,"E"))</f>
        <v/>
      </c>
      <c r="AE29" s="63">
        <f>IF(AE$6&gt;DAY(DATE($D$5,$B$5+1,0)),"",COUNTIF(AE8:AE27,"E"))</f>
        <v/>
      </c>
      <c r="AF29" s="63">
        <f>IF(AF$6&gt;DAY(DATE($D$5,$B$5+1,0)),"",COUNTIF(AF8:AF27,"E"))</f>
        <v/>
      </c>
      <c r="AG29" s="63">
        <f>IF(AG$6&gt;DAY(DATE($D$5,$B$5+1,0)),"",COUNTIF(AG8:AG27,"E"))</f>
        <v/>
      </c>
      <c r="AH29" s="63">
        <f>IF(AH$6&gt;DAY(DATE($D$5,$B$5+1,0)),"",COUNTIF(AH8:AH27,"E"))</f>
        <v/>
      </c>
      <c r="AI29" s="63">
        <f>IF(AI$6&gt;DAY(DATE($D$5,$B$5+1,0)),"",COUNTIF(AI8:AI27,"E"))</f>
        <v/>
      </c>
    </row>
    <row r="30">
      <c r="A30" s="64" t="inlineStr">
        <is>
          <t>Night (N) headcount</t>
        </is>
      </c>
      <c r="B30" s="65" t="n"/>
      <c r="C30" s="65" t="n"/>
      <c r="D30" s="65" t="n"/>
      <c r="E30" s="66">
        <f>IF(E$6&gt;DAY(DATE($D$5,$B$5+1,0)),"",COUNTIF(E8:E27,"N"))</f>
        <v/>
      </c>
      <c r="F30" s="66">
        <f>IF(F$6&gt;DAY(DATE($D$5,$B$5+1,0)),"",COUNTIF(F8:F27,"N"))</f>
        <v/>
      </c>
      <c r="G30" s="66">
        <f>IF(G$6&gt;DAY(DATE($D$5,$B$5+1,0)),"",COUNTIF(G8:G27,"N"))</f>
        <v/>
      </c>
      <c r="H30" s="66">
        <f>IF(H$6&gt;DAY(DATE($D$5,$B$5+1,0)),"",COUNTIF(H8:H27,"N"))</f>
        <v/>
      </c>
      <c r="I30" s="66">
        <f>IF(I$6&gt;DAY(DATE($D$5,$B$5+1,0)),"",COUNTIF(I8:I27,"N"))</f>
        <v/>
      </c>
      <c r="J30" s="66">
        <f>IF(J$6&gt;DAY(DATE($D$5,$B$5+1,0)),"",COUNTIF(J8:J27,"N"))</f>
        <v/>
      </c>
      <c r="K30" s="66">
        <f>IF(K$6&gt;DAY(DATE($D$5,$B$5+1,0)),"",COUNTIF(K8:K27,"N"))</f>
        <v/>
      </c>
      <c r="L30" s="66">
        <f>IF(L$6&gt;DAY(DATE($D$5,$B$5+1,0)),"",COUNTIF(L8:L27,"N"))</f>
        <v/>
      </c>
      <c r="M30" s="66">
        <f>IF(M$6&gt;DAY(DATE($D$5,$B$5+1,0)),"",COUNTIF(M8:M27,"N"))</f>
        <v/>
      </c>
      <c r="N30" s="66">
        <f>IF(N$6&gt;DAY(DATE($D$5,$B$5+1,0)),"",COUNTIF(N8:N27,"N"))</f>
        <v/>
      </c>
      <c r="O30" s="66">
        <f>IF(O$6&gt;DAY(DATE($D$5,$B$5+1,0)),"",COUNTIF(O8:O27,"N"))</f>
        <v/>
      </c>
      <c r="P30" s="66">
        <f>IF(P$6&gt;DAY(DATE($D$5,$B$5+1,0)),"",COUNTIF(P8:P27,"N"))</f>
        <v/>
      </c>
      <c r="Q30" s="66">
        <f>IF(Q$6&gt;DAY(DATE($D$5,$B$5+1,0)),"",COUNTIF(Q8:Q27,"N"))</f>
        <v/>
      </c>
      <c r="R30" s="66">
        <f>IF(R$6&gt;DAY(DATE($D$5,$B$5+1,0)),"",COUNTIF(R8:R27,"N"))</f>
        <v/>
      </c>
      <c r="S30" s="66">
        <f>IF(S$6&gt;DAY(DATE($D$5,$B$5+1,0)),"",COUNTIF(S8:S27,"N"))</f>
        <v/>
      </c>
      <c r="T30" s="66">
        <f>IF(T$6&gt;DAY(DATE($D$5,$B$5+1,0)),"",COUNTIF(T8:T27,"N"))</f>
        <v/>
      </c>
      <c r="U30" s="66">
        <f>IF(U$6&gt;DAY(DATE($D$5,$B$5+1,0)),"",COUNTIF(U8:U27,"N"))</f>
        <v/>
      </c>
      <c r="V30" s="66">
        <f>IF(V$6&gt;DAY(DATE($D$5,$B$5+1,0)),"",COUNTIF(V8:V27,"N"))</f>
        <v/>
      </c>
      <c r="W30" s="66">
        <f>IF(W$6&gt;DAY(DATE($D$5,$B$5+1,0)),"",COUNTIF(W8:W27,"N"))</f>
        <v/>
      </c>
      <c r="X30" s="66">
        <f>IF(X$6&gt;DAY(DATE($D$5,$B$5+1,0)),"",COUNTIF(X8:X27,"N"))</f>
        <v/>
      </c>
      <c r="Y30" s="66">
        <f>IF(Y$6&gt;DAY(DATE($D$5,$B$5+1,0)),"",COUNTIF(Y8:Y27,"N"))</f>
        <v/>
      </c>
      <c r="Z30" s="66">
        <f>IF(Z$6&gt;DAY(DATE($D$5,$B$5+1,0)),"",COUNTIF(Z8:Z27,"N"))</f>
        <v/>
      </c>
      <c r="AA30" s="66">
        <f>IF(AA$6&gt;DAY(DATE($D$5,$B$5+1,0)),"",COUNTIF(AA8:AA27,"N"))</f>
        <v/>
      </c>
      <c r="AB30" s="66">
        <f>IF(AB$6&gt;DAY(DATE($D$5,$B$5+1,0)),"",COUNTIF(AB8:AB27,"N"))</f>
        <v/>
      </c>
      <c r="AC30" s="66">
        <f>IF(AC$6&gt;DAY(DATE($D$5,$B$5+1,0)),"",COUNTIF(AC8:AC27,"N"))</f>
        <v/>
      </c>
      <c r="AD30" s="66">
        <f>IF(AD$6&gt;DAY(DATE($D$5,$B$5+1,0)),"",COUNTIF(AD8:AD27,"N"))</f>
        <v/>
      </c>
      <c r="AE30" s="66">
        <f>IF(AE$6&gt;DAY(DATE($D$5,$B$5+1,0)),"",COUNTIF(AE8:AE27,"N"))</f>
        <v/>
      </c>
      <c r="AF30" s="66">
        <f>IF(AF$6&gt;DAY(DATE($D$5,$B$5+1,0)),"",COUNTIF(AF8:AF27,"N"))</f>
        <v/>
      </c>
      <c r="AG30" s="66">
        <f>IF(AG$6&gt;DAY(DATE($D$5,$B$5+1,0)),"",COUNTIF(AG8:AG27,"N"))</f>
        <v/>
      </c>
      <c r="AH30" s="66">
        <f>IF(AH$6&gt;DAY(DATE($D$5,$B$5+1,0)),"",COUNTIF(AH8:AH27,"N"))</f>
        <v/>
      </c>
      <c r="AI30" s="66">
        <f>IF(AI$6&gt;DAY(DATE($D$5,$B$5+1,0)),"",COUNTIF(AI8:AI27,"N"))</f>
        <v/>
      </c>
    </row>
    <row r="32">
      <c r="A32" s="67" t="inlineStr">
        <is>
          <t>Note: Day cells on Full Month are linked from Week 1–5 sheets. Enter / change shifts on W1_Roster … W5_Roster (use the buttons above).</t>
        </is>
      </c>
    </row>
  </sheetData>
  <mergeCells count="9">
    <mergeCell ref="A3:AN3"/>
    <mergeCell ref="E5:N5"/>
    <mergeCell ref="H4:N4"/>
    <mergeCell ref="A2:AN2"/>
    <mergeCell ref="A30:D30"/>
    <mergeCell ref="A29:D29"/>
    <mergeCell ref="A32:H32"/>
    <mergeCell ref="A28:D28"/>
    <mergeCell ref="A1:AN1"/>
  </mergeCells>
  <conditionalFormatting sqref="E8:AI27">
    <cfRule type="cellIs" priority="1" operator="equal" dxfId="2">
      <formula>"M"</formula>
    </cfRule>
    <cfRule type="cellIs" priority="2" operator="equal" dxfId="3">
      <formula>"E"</formula>
    </cfRule>
    <cfRule type="cellIs" priority="3" operator="equal" dxfId="4">
      <formula>"N"</formula>
    </cfRule>
    <cfRule type="cellIs" priority="4" operator="equal" dxfId="5">
      <formula>"WO"</formula>
    </cfRule>
    <cfRule type="cellIs" priority="5" operator="equal" dxfId="6">
      <formula>"PH"</formula>
    </cfRule>
    <cfRule type="cellIs" priority="6" operator="equal" dxfId="7">
      <formula>"LV"</formula>
    </cfRule>
    <cfRule type="cellIs" priority="7" operator="equal" dxfId="8">
      <formula>"TR"</formula>
    </cfRule>
  </conditionalFormatting>
  <conditionalFormatting sqref="E7:E27">
    <cfRule type="expression" priority="8" dxfId="9">
      <formula>E$6&gt;DAY(DATE($D$5,$B$5+1,0))</formula>
    </cfRule>
  </conditionalFormatting>
  <conditionalFormatting sqref="F7:F27">
    <cfRule type="expression" priority="9" dxfId="9">
      <formula>F$6&gt;DAY(DATE($D$5,$B$5+1,0))</formula>
    </cfRule>
  </conditionalFormatting>
  <conditionalFormatting sqref="G7:G27">
    <cfRule type="expression" priority="10" dxfId="9">
      <formula>G$6&gt;DAY(DATE($D$5,$B$5+1,0))</formula>
    </cfRule>
  </conditionalFormatting>
  <conditionalFormatting sqref="H7:H27">
    <cfRule type="expression" priority="11" dxfId="9">
      <formula>H$6&gt;DAY(DATE($D$5,$B$5+1,0))</formula>
    </cfRule>
  </conditionalFormatting>
  <conditionalFormatting sqref="I7:I27">
    <cfRule type="expression" priority="12" dxfId="9">
      <formula>I$6&gt;DAY(DATE($D$5,$B$5+1,0))</formula>
    </cfRule>
  </conditionalFormatting>
  <conditionalFormatting sqref="J7:J27">
    <cfRule type="expression" priority="13" dxfId="9">
      <formula>J$6&gt;DAY(DATE($D$5,$B$5+1,0))</formula>
    </cfRule>
  </conditionalFormatting>
  <conditionalFormatting sqref="K7:K27">
    <cfRule type="expression" priority="14" dxfId="9">
      <formula>K$6&gt;DAY(DATE($D$5,$B$5+1,0))</formula>
    </cfRule>
  </conditionalFormatting>
  <conditionalFormatting sqref="L7:L27">
    <cfRule type="expression" priority="15" dxfId="9">
      <formula>L$6&gt;DAY(DATE($D$5,$B$5+1,0))</formula>
    </cfRule>
  </conditionalFormatting>
  <conditionalFormatting sqref="M7:M27">
    <cfRule type="expression" priority="16" dxfId="9">
      <formula>M$6&gt;DAY(DATE($D$5,$B$5+1,0))</formula>
    </cfRule>
  </conditionalFormatting>
  <conditionalFormatting sqref="N7:N27">
    <cfRule type="expression" priority="17" dxfId="9">
      <formula>N$6&gt;DAY(DATE($D$5,$B$5+1,0))</formula>
    </cfRule>
  </conditionalFormatting>
  <conditionalFormatting sqref="O7:O27">
    <cfRule type="expression" priority="18" dxfId="9">
      <formula>O$6&gt;DAY(DATE($D$5,$B$5+1,0))</formula>
    </cfRule>
  </conditionalFormatting>
  <conditionalFormatting sqref="P7:P27">
    <cfRule type="expression" priority="19" dxfId="9">
      <formula>P$6&gt;DAY(DATE($D$5,$B$5+1,0))</formula>
    </cfRule>
  </conditionalFormatting>
  <conditionalFormatting sqref="Q7:Q27">
    <cfRule type="expression" priority="20" dxfId="9">
      <formula>Q$6&gt;DAY(DATE($D$5,$B$5+1,0))</formula>
    </cfRule>
  </conditionalFormatting>
  <conditionalFormatting sqref="R7:R27">
    <cfRule type="expression" priority="21" dxfId="9">
      <formula>R$6&gt;DAY(DATE($D$5,$B$5+1,0))</formula>
    </cfRule>
  </conditionalFormatting>
  <conditionalFormatting sqref="S7:S27">
    <cfRule type="expression" priority="22" dxfId="9">
      <formula>S$6&gt;DAY(DATE($D$5,$B$5+1,0))</formula>
    </cfRule>
  </conditionalFormatting>
  <conditionalFormatting sqref="T7:T27">
    <cfRule type="expression" priority="23" dxfId="9">
      <formula>T$6&gt;DAY(DATE($D$5,$B$5+1,0))</formula>
    </cfRule>
  </conditionalFormatting>
  <conditionalFormatting sqref="U7:U27">
    <cfRule type="expression" priority="24" dxfId="9">
      <formula>U$6&gt;DAY(DATE($D$5,$B$5+1,0))</formula>
    </cfRule>
  </conditionalFormatting>
  <conditionalFormatting sqref="V7:V27">
    <cfRule type="expression" priority="25" dxfId="9">
      <formula>V$6&gt;DAY(DATE($D$5,$B$5+1,0))</formula>
    </cfRule>
  </conditionalFormatting>
  <conditionalFormatting sqref="W7:W27">
    <cfRule type="expression" priority="26" dxfId="9">
      <formula>W$6&gt;DAY(DATE($D$5,$B$5+1,0))</formula>
    </cfRule>
  </conditionalFormatting>
  <conditionalFormatting sqref="X7:X27">
    <cfRule type="expression" priority="27" dxfId="9">
      <formula>X$6&gt;DAY(DATE($D$5,$B$5+1,0))</formula>
    </cfRule>
  </conditionalFormatting>
  <conditionalFormatting sqref="Y7:Y27">
    <cfRule type="expression" priority="28" dxfId="9">
      <formula>Y$6&gt;DAY(DATE($D$5,$B$5+1,0))</formula>
    </cfRule>
  </conditionalFormatting>
  <conditionalFormatting sqref="Z7:Z27">
    <cfRule type="expression" priority="29" dxfId="9">
      <formula>Z$6&gt;DAY(DATE($D$5,$B$5+1,0))</formula>
    </cfRule>
  </conditionalFormatting>
  <conditionalFormatting sqref="AA7:AA27">
    <cfRule type="expression" priority="30" dxfId="9">
      <formula>AA$6&gt;DAY(DATE($D$5,$B$5+1,0))</formula>
    </cfRule>
  </conditionalFormatting>
  <conditionalFormatting sqref="AB7:AB27">
    <cfRule type="expression" priority="31" dxfId="9">
      <formula>AB$6&gt;DAY(DATE($D$5,$B$5+1,0))</formula>
    </cfRule>
  </conditionalFormatting>
  <conditionalFormatting sqref="AC7:AC27">
    <cfRule type="expression" priority="32" dxfId="9">
      <formula>AC$6&gt;DAY(DATE($D$5,$B$5+1,0))</formula>
    </cfRule>
  </conditionalFormatting>
  <conditionalFormatting sqref="AD7:AD27">
    <cfRule type="expression" priority="33" dxfId="9">
      <formula>AD$6&gt;DAY(DATE($D$5,$B$5+1,0))</formula>
    </cfRule>
  </conditionalFormatting>
  <conditionalFormatting sqref="AE7:AE27">
    <cfRule type="expression" priority="34" dxfId="9">
      <formula>AE$6&gt;DAY(DATE($D$5,$B$5+1,0))</formula>
    </cfRule>
  </conditionalFormatting>
  <conditionalFormatting sqref="AF7:AF27">
    <cfRule type="expression" priority="35" dxfId="9">
      <formula>AF$6&gt;DAY(DATE($D$5,$B$5+1,0))</formula>
    </cfRule>
  </conditionalFormatting>
  <conditionalFormatting sqref="AG7:AG27">
    <cfRule type="expression" priority="36" dxfId="9">
      <formula>AG$6&gt;DAY(DATE($D$5,$B$5+1,0))</formula>
    </cfRule>
  </conditionalFormatting>
  <conditionalFormatting sqref="AH7:AH27">
    <cfRule type="expression" priority="37" dxfId="9">
      <formula>AH$6&gt;DAY(DATE($D$5,$B$5+1,0))</formula>
    </cfRule>
  </conditionalFormatting>
  <conditionalFormatting sqref="AI7:AI27">
    <cfRule type="expression" priority="38" dxfId="9">
      <formula>AI$6&gt;DAY(DATE($D$5,$B$5+1,0))</formula>
    </cfRule>
  </conditionalFormatting>
  <dataValidations count="1">
    <dataValidation sqref="AL8 AL9 AL10 AL11 AL12 AL13 AL14 AL15 AL16 AL17 AL18 AL19 AL20 AL21 AL22 AL23 AL24 AL25 AL26 AL27" showDropDown="0" showInputMessage="0" showErrorMessage="0" allowBlank="1" type="list">
      <formula1>'02_Employee_Master'!$B$6:$B$25</formula1>
    </dataValidation>
  </dataValidations>
  <hyperlinks>
    <hyperlink xmlns:r="http://schemas.openxmlformats.org/officeDocument/2006/relationships" ref="B4" r:id="rId1"/>
    <hyperlink xmlns:r="http://schemas.openxmlformats.org/officeDocument/2006/relationships" ref="C4" r:id="rId2"/>
    <hyperlink xmlns:r="http://schemas.openxmlformats.org/officeDocument/2006/relationships" ref="D4" r:id="rId3"/>
    <hyperlink xmlns:r="http://schemas.openxmlformats.org/officeDocument/2006/relationships" ref="E4" r:id="rId4"/>
    <hyperlink xmlns:r="http://schemas.openxmlformats.org/officeDocument/2006/relationships" ref="F4" r:id="rId5"/>
    <hyperlink xmlns:r="http://schemas.openxmlformats.org/officeDocument/2006/relationships" ref="G4" r:id="rId6"/>
  </hyperlinks>
  <pageMargins left="0.4" right="0.4" top="0.5" bottom="0.5" header="0.2" footer="0.2"/>
  <pageSetup orientation="landscape" paperSize="9" fitToHeight="0" fitToWidth="1"/>
</worksheet>
</file>

<file path=xl/worksheets/sheet5.xml><?xml version="1.0" encoding="utf-8"?>
<worksheet xmlns="http://schemas.openxmlformats.org/spreadsheetml/2006/main">
  <sheetPr>
    <tabColor rgb="000E7C7B"/>
    <outlinePr summaryBelow="1" summaryRight="1"/>
    <pageSetUpPr fitToPage="1"/>
  </sheetPr>
  <dimension ref="A1:M28"/>
  <sheetViews>
    <sheetView showGridLines="0" zoomScale="90" workbookViewId="0">
      <pane xSplit="4" ySplit="7" topLeftCell="E8"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6" customWidth="1" min="3" max="3"/>
    <col width="22" customWidth="1" min="4" max="4"/>
    <col width="8" customWidth="1" min="5" max="5"/>
    <col width="8" customWidth="1" min="6" max="6"/>
    <col width="8" customWidth="1" min="7" max="7"/>
    <col width="8" customWidth="1" min="8" max="8"/>
    <col width="8" customWidth="1" min="9" max="9"/>
    <col width="8" customWidth="1" min="10" max="10"/>
    <col width="8" customWidth="1" min="11" max="11"/>
    <col width="18" customWidth="1" min="12" max="12"/>
    <col width="28" customWidth="1" min="13" max="13"/>
  </cols>
  <sheetData>
    <row r="1" ht="16" customHeight="1">
      <c r="A1" s="1" t="inlineStr">
        <is>
          <t>PATHCARE DIAGNOSTICS  ·  Pathology Laboratory</t>
        </is>
      </c>
      <c r="B1" s="2" t="n"/>
      <c r="C1" s="2" t="n"/>
      <c r="D1" s="2" t="n"/>
      <c r="E1" s="2" t="n"/>
      <c r="F1" s="2" t="n"/>
      <c r="G1" s="2" t="n"/>
      <c r="H1" s="2" t="n"/>
      <c r="I1" s="2" t="n"/>
      <c r="J1" s="2" t="n"/>
      <c r="K1" s="2" t="n"/>
      <c r="L1" s="2" t="n"/>
      <c r="M1" s="2" t="n"/>
    </row>
    <row r="2" ht="26" customHeight="1">
      <c r="A2" s="3" t="inlineStr">
        <is>
          <t>WEEK 1 ROSTER  ·  Days 1–7</t>
        </is>
      </c>
      <c r="B2" s="2" t="n"/>
      <c r="C2" s="2" t="n"/>
      <c r="D2" s="2" t="n"/>
      <c r="E2" s="2" t="n"/>
      <c r="F2" s="2" t="n"/>
      <c r="G2" s="2" t="n"/>
      <c r="H2" s="2" t="n"/>
      <c r="I2" s="2" t="n"/>
      <c r="J2" s="2" t="n"/>
      <c r="K2" s="2" t="n"/>
      <c r="L2" s="2" t="n"/>
      <c r="M2" s="2" t="n"/>
    </row>
    <row r="3" ht="18" customHeight="1">
      <c r="A3" s="4" t="inlineStr">
        <is>
          <t>Edit shifts here  ·  Syncs to Full Month automatically  ·  Period = Roster Month/Year</t>
        </is>
      </c>
      <c r="B3" s="2" t="n"/>
      <c r="C3" s="2" t="n"/>
      <c r="D3" s="2" t="n"/>
      <c r="E3" s="2" t="n"/>
      <c r="F3" s="2" t="n"/>
      <c r="G3" s="2" t="n"/>
      <c r="H3" s="2" t="n"/>
      <c r="I3" s="2" t="n"/>
      <c r="J3" s="2" t="n"/>
      <c r="K3" s="2" t="n"/>
      <c r="L3" s="2" t="n"/>
      <c r="M3" s="2" t="n"/>
    </row>
    <row r="4" ht="22" customHeight="1">
      <c r="A4" s="7" t="inlineStr">
        <is>
          <t>GO →</t>
        </is>
      </c>
      <c r="B4" s="50" t="inlineStr">
        <is>
          <t>Full Month</t>
        </is>
      </c>
      <c r="C4" s="51" t="inlineStr">
        <is>
          <t>● W1</t>
        </is>
      </c>
      <c r="D4" s="52" t="inlineStr">
        <is>
          <t>▶ W2</t>
        </is>
      </c>
      <c r="E4" s="53" t="inlineStr">
        <is>
          <t>▶ W3</t>
        </is>
      </c>
      <c r="F4" s="54" t="inlineStr">
        <is>
          <t>▶ W4</t>
        </is>
      </c>
      <c r="G4" s="55" t="inlineStr">
        <is>
          <t>▶ W5</t>
        </is>
      </c>
      <c r="H4" s="68" t="inlineStr">
        <is>
          <t>You are on Week 1  |  Drop-down: M E N WO PH LV TR</t>
        </is>
      </c>
    </row>
    <row r="5">
      <c r="A5" s="29" t="inlineStr">
        <is>
          <t>Month</t>
        </is>
      </c>
      <c r="B5" s="28">
        <f>'03_Roster'!B5</f>
        <v/>
      </c>
      <c r="C5" s="29" t="inlineStr">
        <is>
          <t>Year</t>
        </is>
      </c>
      <c r="D5" s="28">
        <f>'03_Roster'!D5</f>
        <v/>
      </c>
    </row>
    <row r="6">
      <c r="A6" s="29" t="inlineStr">
        <is>
          <t>Emp ID</t>
        </is>
      </c>
      <c r="B6" s="29" t="inlineStr">
        <is>
          <t>Employee Name</t>
        </is>
      </c>
      <c r="C6" s="29" t="inlineStr">
        <is>
          <t>Department</t>
        </is>
      </c>
      <c r="D6" s="29" t="inlineStr">
        <is>
          <t>Designation</t>
        </is>
      </c>
      <c r="E6" s="29" t="n">
        <v>1</v>
      </c>
      <c r="F6" s="29" t="n">
        <v>2</v>
      </c>
      <c r="G6" s="29" t="n">
        <v>3</v>
      </c>
      <c r="H6" s="29" t="n">
        <v>4</v>
      </c>
      <c r="I6" s="29" t="n">
        <v>5</v>
      </c>
      <c r="J6" s="29" t="n">
        <v>6</v>
      </c>
      <c r="K6" s="29" t="n">
        <v>7</v>
      </c>
      <c r="L6" s="57" t="inlineStr">
        <is>
          <t>Backup</t>
        </is>
      </c>
      <c r="M6" s="57" t="inlineStr">
        <is>
          <t>Week notes</t>
        </is>
      </c>
    </row>
    <row r="7">
      <c r="A7" s="13" t="n"/>
      <c r="B7" s="13" t="n"/>
      <c r="C7" s="13" t="n"/>
      <c r="D7" s="13" t="n"/>
      <c r="E7" s="58">
        <f>IF(E$6&gt;DAY(DATE('03_Roster'!$D$5,'03_Roster'!$B$5+1,0)),"",TEXT(DATE('03_Roster'!$D$5,'03_Roster'!$B$5,E$6),"DDD"))</f>
        <v/>
      </c>
      <c r="F7" s="58">
        <f>IF(F$6&gt;DAY(DATE('03_Roster'!$D$5,'03_Roster'!$B$5+1,0)),"",TEXT(DATE('03_Roster'!$D$5,'03_Roster'!$B$5,F$6),"DDD"))</f>
        <v/>
      </c>
      <c r="G7" s="58">
        <f>IF(G$6&gt;DAY(DATE('03_Roster'!$D$5,'03_Roster'!$B$5+1,0)),"",TEXT(DATE('03_Roster'!$D$5,'03_Roster'!$B$5,G$6),"DDD"))</f>
        <v/>
      </c>
      <c r="H7" s="58">
        <f>IF(H$6&gt;DAY(DATE('03_Roster'!$D$5,'03_Roster'!$B$5+1,0)),"",TEXT(DATE('03_Roster'!$D$5,'03_Roster'!$B$5,H$6),"DDD"))</f>
        <v/>
      </c>
      <c r="I7" s="58">
        <f>IF(I$6&gt;DAY(DATE('03_Roster'!$D$5,'03_Roster'!$B$5+1,0)),"",TEXT(DATE('03_Roster'!$D$5,'03_Roster'!$B$5,I$6),"DDD"))</f>
        <v/>
      </c>
      <c r="J7" s="58">
        <f>IF(J$6&gt;DAY(DATE('03_Roster'!$D$5,'03_Roster'!$B$5+1,0)),"",TEXT(DATE('03_Roster'!$D$5,'03_Roster'!$B$5,J$6),"DDD"))</f>
        <v/>
      </c>
      <c r="K7" s="58">
        <f>IF(K$6&gt;DAY(DATE('03_Roster'!$D$5,'03_Roster'!$B$5+1,0)),"",TEXT(DATE('03_Roster'!$D$5,'03_Roster'!$B$5,K$6),"DDD"))</f>
        <v/>
      </c>
      <c r="L7" s="13" t="n"/>
      <c r="M7" s="13" t="n"/>
    </row>
    <row r="8" ht="20" customHeight="1">
      <c r="A8" s="30">
        <f>'02_Employee_Master'!A6</f>
        <v/>
      </c>
      <c r="B8" s="9">
        <f>'02_Employee_Master'!B6</f>
        <v/>
      </c>
      <c r="C8" s="9">
        <f>'02_Employee_Master'!D6</f>
        <v/>
      </c>
      <c r="D8" s="9">
        <f>'02_Employee_Master'!C6</f>
        <v/>
      </c>
      <c r="E8" s="69" t="inlineStr">
        <is>
          <t>M</t>
        </is>
      </c>
      <c r="F8" s="69" t="inlineStr">
        <is>
          <t>M</t>
        </is>
      </c>
      <c r="G8" s="69" t="inlineStr">
        <is>
          <t>M</t>
        </is>
      </c>
      <c r="H8" s="69" t="inlineStr">
        <is>
          <t>M</t>
        </is>
      </c>
      <c r="I8" s="69" t="inlineStr">
        <is>
          <t>M</t>
        </is>
      </c>
      <c r="J8" s="69" t="inlineStr">
        <is>
          <t>M</t>
        </is>
      </c>
      <c r="K8" s="69" t="inlineStr">
        <is>
          <t>WO</t>
        </is>
      </c>
      <c r="L8" s="30" t="inlineStr">
        <is>
          <t>Vikram Singh</t>
        </is>
      </c>
      <c r="M8" s="30" t="inlineStr"/>
    </row>
    <row r="9" ht="20" customHeight="1">
      <c r="A9" s="33">
        <f>'02_Employee_Master'!A7</f>
        <v/>
      </c>
      <c r="B9" s="11">
        <f>'02_Employee_Master'!B7</f>
        <v/>
      </c>
      <c r="C9" s="11">
        <f>'02_Employee_Master'!D7</f>
        <v/>
      </c>
      <c r="D9" s="11">
        <f>'02_Employee_Master'!C7</f>
        <v/>
      </c>
      <c r="E9" s="70" t="inlineStr">
        <is>
          <t>M</t>
        </is>
      </c>
      <c r="F9" s="70" t="inlineStr">
        <is>
          <t>WO</t>
        </is>
      </c>
      <c r="G9" s="70" t="inlineStr">
        <is>
          <t>M</t>
        </is>
      </c>
      <c r="H9" s="70" t="inlineStr">
        <is>
          <t>E</t>
        </is>
      </c>
      <c r="I9" s="70" t="inlineStr">
        <is>
          <t>M</t>
        </is>
      </c>
      <c r="J9" s="70" t="inlineStr">
        <is>
          <t>M</t>
        </is>
      </c>
      <c r="K9" s="70" t="inlineStr">
        <is>
          <t>M</t>
        </is>
      </c>
      <c r="L9" s="33" t="inlineStr"/>
      <c r="M9" s="33" t="inlineStr"/>
    </row>
    <row r="10" ht="20" customHeight="1">
      <c r="A10" s="30">
        <f>'02_Employee_Master'!A8</f>
        <v/>
      </c>
      <c r="B10" s="9">
        <f>'02_Employee_Master'!B8</f>
        <v/>
      </c>
      <c r="C10" s="9">
        <f>'02_Employee_Master'!D8</f>
        <v/>
      </c>
      <c r="D10" s="9">
        <f>'02_Employee_Master'!C8</f>
        <v/>
      </c>
      <c r="E10" s="69" t="inlineStr">
        <is>
          <t>N</t>
        </is>
      </c>
      <c r="F10" s="69" t="inlineStr">
        <is>
          <t>M</t>
        </is>
      </c>
      <c r="G10" s="69" t="inlineStr">
        <is>
          <t>E</t>
        </is>
      </c>
      <c r="H10" s="69" t="inlineStr">
        <is>
          <t>WO</t>
        </is>
      </c>
      <c r="I10" s="69" t="inlineStr">
        <is>
          <t>M</t>
        </is>
      </c>
      <c r="J10" s="69" t="inlineStr">
        <is>
          <t>M</t>
        </is>
      </c>
      <c r="K10" s="69" t="inlineStr">
        <is>
          <t>M</t>
        </is>
      </c>
      <c r="L10" s="30" t="inlineStr"/>
      <c r="M10" s="30" t="inlineStr"/>
    </row>
    <row r="11" ht="20" customHeight="1">
      <c r="A11" s="33">
        <f>'02_Employee_Master'!A9</f>
        <v/>
      </c>
      <c r="B11" s="11">
        <f>'02_Employee_Master'!B9</f>
        <v/>
      </c>
      <c r="C11" s="11">
        <f>'02_Employee_Master'!D9</f>
        <v/>
      </c>
      <c r="D11" s="11">
        <f>'02_Employee_Master'!C9</f>
        <v/>
      </c>
      <c r="E11" s="70" t="inlineStr">
        <is>
          <t>M</t>
        </is>
      </c>
      <c r="F11" s="70" t="inlineStr">
        <is>
          <t>E</t>
        </is>
      </c>
      <c r="G11" s="70" t="inlineStr">
        <is>
          <t>M</t>
        </is>
      </c>
      <c r="H11" s="70" t="inlineStr">
        <is>
          <t>M</t>
        </is>
      </c>
      <c r="I11" s="70" t="inlineStr">
        <is>
          <t>M</t>
        </is>
      </c>
      <c r="J11" s="70" t="inlineStr">
        <is>
          <t>WO</t>
        </is>
      </c>
      <c r="K11" s="70" t="inlineStr">
        <is>
          <t>N</t>
        </is>
      </c>
      <c r="L11" s="33" t="inlineStr"/>
      <c r="M11" s="33" t="inlineStr"/>
    </row>
    <row r="12" ht="20" customHeight="1">
      <c r="A12" s="30">
        <f>'02_Employee_Master'!A10</f>
        <v/>
      </c>
      <c r="B12" s="9">
        <f>'02_Employee_Master'!B10</f>
        <v/>
      </c>
      <c r="C12" s="9">
        <f>'02_Employee_Master'!D10</f>
        <v/>
      </c>
      <c r="D12" s="9">
        <f>'02_Employee_Master'!C10</f>
        <v/>
      </c>
      <c r="E12" s="69" t="inlineStr">
        <is>
          <t>WO</t>
        </is>
      </c>
      <c r="F12" s="69" t="inlineStr">
        <is>
          <t>E</t>
        </is>
      </c>
      <c r="G12" s="69" t="inlineStr">
        <is>
          <t>M</t>
        </is>
      </c>
      <c r="H12" s="69" t="inlineStr">
        <is>
          <t>M</t>
        </is>
      </c>
      <c r="I12" s="69" t="inlineStr">
        <is>
          <t>E</t>
        </is>
      </c>
      <c r="J12" s="69" t="inlineStr">
        <is>
          <t>M</t>
        </is>
      </c>
      <c r="K12" s="69" t="inlineStr">
        <is>
          <t>M</t>
        </is>
      </c>
      <c r="L12" s="30" t="inlineStr"/>
      <c r="M12" s="30" t="inlineStr"/>
    </row>
    <row r="13" ht="20" customHeight="1">
      <c r="A13" s="33">
        <f>'02_Employee_Master'!A11</f>
        <v/>
      </c>
      <c r="B13" s="11">
        <f>'02_Employee_Master'!B11</f>
        <v/>
      </c>
      <c r="C13" s="11">
        <f>'02_Employee_Master'!D11</f>
        <v/>
      </c>
      <c r="D13" s="11">
        <f>'02_Employee_Master'!C11</f>
        <v/>
      </c>
      <c r="E13" s="70" t="inlineStr">
        <is>
          <t>M</t>
        </is>
      </c>
      <c r="F13" s="70" t="inlineStr">
        <is>
          <t>M</t>
        </is>
      </c>
      <c r="G13" s="70" t="inlineStr">
        <is>
          <t>WO</t>
        </is>
      </c>
      <c r="H13" s="70" t="inlineStr">
        <is>
          <t>M</t>
        </is>
      </c>
      <c r="I13" s="70" t="inlineStr">
        <is>
          <t>N</t>
        </is>
      </c>
      <c r="J13" s="70" t="inlineStr">
        <is>
          <t>M</t>
        </is>
      </c>
      <c r="K13" s="70" t="inlineStr">
        <is>
          <t>M</t>
        </is>
      </c>
      <c r="L13" s="33" t="inlineStr"/>
      <c r="M13" s="33" t="inlineStr"/>
    </row>
    <row r="14" ht="20" customHeight="1">
      <c r="A14" s="30">
        <f>'02_Employee_Master'!A12</f>
        <v/>
      </c>
      <c r="B14" s="9">
        <f>'02_Employee_Master'!B12</f>
        <v/>
      </c>
      <c r="C14" s="9">
        <f>'02_Employee_Master'!D12</f>
        <v/>
      </c>
      <c r="D14" s="9">
        <f>'02_Employee_Master'!C12</f>
        <v/>
      </c>
      <c r="E14" s="69" t="inlineStr">
        <is>
          <t>M</t>
        </is>
      </c>
      <c r="F14" s="69" t="inlineStr">
        <is>
          <t>M</t>
        </is>
      </c>
      <c r="G14" s="69" t="inlineStr">
        <is>
          <t>E</t>
        </is>
      </c>
      <c r="H14" s="69" t="inlineStr">
        <is>
          <t>M</t>
        </is>
      </c>
      <c r="I14" s="69" t="inlineStr">
        <is>
          <t>WO</t>
        </is>
      </c>
      <c r="J14" s="69" t="inlineStr">
        <is>
          <t>E</t>
        </is>
      </c>
      <c r="K14" s="69" t="inlineStr">
        <is>
          <t>M</t>
        </is>
      </c>
      <c r="L14" s="30" t="inlineStr">
        <is>
          <t>Karan Malhotra</t>
        </is>
      </c>
      <c r="M14" s="30" t="inlineStr"/>
    </row>
    <row r="15" ht="20" customHeight="1">
      <c r="A15" s="33">
        <f>'02_Employee_Master'!A13</f>
        <v/>
      </c>
      <c r="B15" s="11">
        <f>'02_Employee_Master'!B13</f>
        <v/>
      </c>
      <c r="C15" s="11">
        <f>'02_Employee_Master'!D13</f>
        <v/>
      </c>
      <c r="D15" s="11">
        <f>'02_Employee_Master'!C13</f>
        <v/>
      </c>
      <c r="E15" s="70" t="inlineStr">
        <is>
          <t>M</t>
        </is>
      </c>
      <c r="F15" s="70" t="inlineStr">
        <is>
          <t>M</t>
        </is>
      </c>
      <c r="G15" s="70" t="inlineStr">
        <is>
          <t>N</t>
        </is>
      </c>
      <c r="H15" s="70" t="inlineStr">
        <is>
          <t>M</t>
        </is>
      </c>
      <c r="I15" s="70" t="inlineStr">
        <is>
          <t>M</t>
        </is>
      </c>
      <c r="J15" s="70" t="inlineStr">
        <is>
          <t>M</t>
        </is>
      </c>
      <c r="K15" s="70" t="inlineStr">
        <is>
          <t>WO</t>
        </is>
      </c>
      <c r="L15" s="33" t="inlineStr"/>
      <c r="M15" s="33" t="inlineStr"/>
    </row>
    <row r="16" ht="20" customHeight="1">
      <c r="A16" s="30">
        <f>'02_Employee_Master'!A14</f>
        <v/>
      </c>
      <c r="B16" s="9">
        <f>'02_Employee_Master'!B14</f>
        <v/>
      </c>
      <c r="C16" s="9">
        <f>'02_Employee_Master'!D14</f>
        <v/>
      </c>
      <c r="D16" s="9">
        <f>'02_Employee_Master'!C14</f>
        <v/>
      </c>
      <c r="E16" s="69" t="inlineStr">
        <is>
          <t>M</t>
        </is>
      </c>
      <c r="F16" s="69" t="inlineStr">
        <is>
          <t>WO</t>
        </is>
      </c>
      <c r="G16" s="69" t="inlineStr">
        <is>
          <t>M</t>
        </is>
      </c>
      <c r="H16" s="69" t="inlineStr">
        <is>
          <t>M</t>
        </is>
      </c>
      <c r="I16" s="69" t="inlineStr">
        <is>
          <t>M</t>
        </is>
      </c>
      <c r="J16" s="69" t="inlineStr">
        <is>
          <t>M</t>
        </is>
      </c>
      <c r="K16" s="69" t="inlineStr">
        <is>
          <t>M</t>
        </is>
      </c>
      <c r="L16" s="30" t="inlineStr"/>
      <c r="M16" s="30" t="inlineStr"/>
    </row>
    <row r="17" ht="20" customHeight="1">
      <c r="A17" s="33">
        <f>'02_Employee_Master'!A15</f>
        <v/>
      </c>
      <c r="B17" s="11">
        <f>'02_Employee_Master'!B15</f>
        <v/>
      </c>
      <c r="C17" s="11">
        <f>'02_Employee_Master'!D15</f>
        <v/>
      </c>
      <c r="D17" s="11">
        <f>'02_Employee_Master'!C15</f>
        <v/>
      </c>
      <c r="E17" s="70" t="inlineStr">
        <is>
          <t>M</t>
        </is>
      </c>
      <c r="F17" s="70" t="inlineStr">
        <is>
          <t>M</t>
        </is>
      </c>
      <c r="G17" s="70" t="inlineStr">
        <is>
          <t>E</t>
        </is>
      </c>
      <c r="H17" s="70" t="inlineStr">
        <is>
          <t>WO</t>
        </is>
      </c>
      <c r="I17" s="70" t="inlineStr">
        <is>
          <t>M</t>
        </is>
      </c>
      <c r="J17" s="70" t="inlineStr">
        <is>
          <t>E</t>
        </is>
      </c>
      <c r="K17" s="70" t="inlineStr">
        <is>
          <t>M</t>
        </is>
      </c>
      <c r="L17" s="33" t="inlineStr"/>
      <c r="M17" s="33" t="inlineStr"/>
    </row>
    <row r="18" ht="20" customHeight="1">
      <c r="A18" s="30">
        <f>'02_Employee_Master'!A16</f>
        <v/>
      </c>
      <c r="B18" s="9">
        <f>'02_Employee_Master'!B16</f>
        <v/>
      </c>
      <c r="C18" s="9">
        <f>'02_Employee_Master'!D16</f>
        <v/>
      </c>
      <c r="D18" s="9">
        <f>'02_Employee_Master'!C16</f>
        <v/>
      </c>
      <c r="E18" s="69" t="inlineStr">
        <is>
          <t>M</t>
        </is>
      </c>
      <c r="F18" s="69" t="inlineStr">
        <is>
          <t>M</t>
        </is>
      </c>
      <c r="G18" s="69" t="inlineStr">
        <is>
          <t>M</t>
        </is>
      </c>
      <c r="H18" s="69" t="inlineStr">
        <is>
          <t>M</t>
        </is>
      </c>
      <c r="I18" s="69" t="inlineStr">
        <is>
          <t>M</t>
        </is>
      </c>
      <c r="J18" s="69" t="inlineStr">
        <is>
          <t>WO</t>
        </is>
      </c>
      <c r="K18" s="69" t="inlineStr">
        <is>
          <t>M</t>
        </is>
      </c>
      <c r="L18" s="30" t="inlineStr"/>
      <c r="M18" s="30" t="inlineStr"/>
    </row>
    <row r="19" ht="20" customHeight="1">
      <c r="A19" s="33">
        <f>'02_Employee_Master'!A17</f>
        <v/>
      </c>
      <c r="B19" s="11">
        <f>'02_Employee_Master'!B17</f>
        <v/>
      </c>
      <c r="C19" s="11">
        <f>'02_Employee_Master'!D17</f>
        <v/>
      </c>
      <c r="D19" s="11">
        <f>'02_Employee_Master'!C17</f>
        <v/>
      </c>
      <c r="E19" s="70" t="inlineStr">
        <is>
          <t>WO</t>
        </is>
      </c>
      <c r="F19" s="70" t="inlineStr">
        <is>
          <t>M</t>
        </is>
      </c>
      <c r="G19" s="70" t="inlineStr">
        <is>
          <t>M</t>
        </is>
      </c>
      <c r="H19" s="70" t="inlineStr">
        <is>
          <t>E</t>
        </is>
      </c>
      <c r="I19" s="70" t="inlineStr">
        <is>
          <t>M</t>
        </is>
      </c>
      <c r="J19" s="70" t="inlineStr">
        <is>
          <t>N</t>
        </is>
      </c>
      <c r="K19" s="70" t="inlineStr">
        <is>
          <t>M</t>
        </is>
      </c>
      <c r="L19" s="33" t="inlineStr"/>
      <c r="M19" s="33" t="inlineStr"/>
    </row>
    <row r="20" ht="20" customHeight="1">
      <c r="A20" s="30">
        <f>'02_Employee_Master'!A18</f>
        <v/>
      </c>
      <c r="B20" s="9">
        <f>'02_Employee_Master'!B18</f>
        <v/>
      </c>
      <c r="C20" s="9">
        <f>'02_Employee_Master'!D18</f>
        <v/>
      </c>
      <c r="D20" s="9">
        <f>'02_Employee_Master'!C18</f>
        <v/>
      </c>
      <c r="E20" s="69" t="inlineStr">
        <is>
          <t>M</t>
        </is>
      </c>
      <c r="F20" s="69" t="inlineStr">
        <is>
          <t>M</t>
        </is>
      </c>
      <c r="G20" s="69" t="inlineStr">
        <is>
          <t>WO</t>
        </is>
      </c>
      <c r="H20" s="69" t="inlineStr">
        <is>
          <t>M</t>
        </is>
      </c>
      <c r="I20" s="69" t="inlineStr">
        <is>
          <t>M</t>
        </is>
      </c>
      <c r="J20" s="69" t="inlineStr">
        <is>
          <t>M</t>
        </is>
      </c>
      <c r="K20" s="69" t="inlineStr">
        <is>
          <t>M</t>
        </is>
      </c>
      <c r="L20" s="30" t="inlineStr">
        <is>
          <t>Deepak Joshi</t>
        </is>
      </c>
      <c r="M20" s="30" t="inlineStr"/>
    </row>
    <row r="21" ht="20" customHeight="1">
      <c r="A21" s="33">
        <f>'02_Employee_Master'!A19</f>
        <v/>
      </c>
      <c r="B21" s="11">
        <f>'02_Employee_Master'!B19</f>
        <v/>
      </c>
      <c r="C21" s="11">
        <f>'02_Employee_Master'!D19</f>
        <v/>
      </c>
      <c r="D21" s="11">
        <f>'02_Employee_Master'!C19</f>
        <v/>
      </c>
      <c r="E21" s="70" t="inlineStr">
        <is>
          <t>M</t>
        </is>
      </c>
      <c r="F21" s="70" t="inlineStr">
        <is>
          <t>E</t>
        </is>
      </c>
      <c r="G21" s="70" t="inlineStr">
        <is>
          <t>M</t>
        </is>
      </c>
      <c r="H21" s="70" t="inlineStr">
        <is>
          <t>M</t>
        </is>
      </c>
      <c r="I21" s="70" t="inlineStr">
        <is>
          <t>WO</t>
        </is>
      </c>
      <c r="J21" s="70" t="inlineStr">
        <is>
          <t>M</t>
        </is>
      </c>
      <c r="K21" s="70" t="inlineStr">
        <is>
          <t>M</t>
        </is>
      </c>
      <c r="L21" s="33" t="inlineStr"/>
      <c r="M21" s="33" t="inlineStr"/>
    </row>
    <row r="22" ht="20" customHeight="1">
      <c r="A22" s="30">
        <f>'02_Employee_Master'!A20</f>
        <v/>
      </c>
      <c r="B22" s="9">
        <f>'02_Employee_Master'!B20</f>
        <v/>
      </c>
      <c r="C22" s="9">
        <f>'02_Employee_Master'!D20</f>
        <v/>
      </c>
      <c r="D22" s="9">
        <f>'02_Employee_Master'!C20</f>
        <v/>
      </c>
      <c r="E22" s="69" t="inlineStr">
        <is>
          <t>M</t>
        </is>
      </c>
      <c r="F22" s="69" t="inlineStr">
        <is>
          <t>M</t>
        </is>
      </c>
      <c r="G22" s="69" t="inlineStr">
        <is>
          <t>M</t>
        </is>
      </c>
      <c r="H22" s="69" t="inlineStr">
        <is>
          <t>M</t>
        </is>
      </c>
      <c r="I22" s="69" t="inlineStr">
        <is>
          <t>M</t>
        </is>
      </c>
      <c r="J22" s="69" t="inlineStr">
        <is>
          <t>M</t>
        </is>
      </c>
      <c r="K22" s="69" t="inlineStr">
        <is>
          <t>WO</t>
        </is>
      </c>
      <c r="L22" s="30" t="inlineStr"/>
      <c r="M22" s="30" t="inlineStr"/>
    </row>
    <row r="23" ht="20" customHeight="1">
      <c r="A23" s="33">
        <f>'02_Employee_Master'!A21</f>
        <v/>
      </c>
      <c r="B23" s="11">
        <f>'02_Employee_Master'!B21</f>
        <v/>
      </c>
      <c r="C23" s="11">
        <f>'02_Employee_Master'!D21</f>
        <v/>
      </c>
      <c r="D23" s="11">
        <f>'02_Employee_Master'!C21</f>
        <v/>
      </c>
      <c r="E23" s="70" t="inlineStr">
        <is>
          <t>M</t>
        </is>
      </c>
      <c r="F23" s="70" t="inlineStr">
        <is>
          <t>WO</t>
        </is>
      </c>
      <c r="G23" s="70" t="inlineStr">
        <is>
          <t>M</t>
        </is>
      </c>
      <c r="H23" s="70" t="inlineStr">
        <is>
          <t>M</t>
        </is>
      </c>
      <c r="I23" s="70" t="inlineStr">
        <is>
          <t>E</t>
        </is>
      </c>
      <c r="J23" s="70" t="inlineStr">
        <is>
          <t>M</t>
        </is>
      </c>
      <c r="K23" s="70" t="inlineStr">
        <is>
          <t>M</t>
        </is>
      </c>
      <c r="L23" s="33" t="inlineStr"/>
      <c r="M23" s="33" t="inlineStr"/>
    </row>
    <row r="24" ht="20" customHeight="1">
      <c r="A24" s="30">
        <f>'02_Employee_Master'!A22</f>
        <v/>
      </c>
      <c r="B24" s="9">
        <f>'02_Employee_Master'!B22</f>
        <v/>
      </c>
      <c r="C24" s="9">
        <f>'02_Employee_Master'!D22</f>
        <v/>
      </c>
      <c r="D24" s="9">
        <f>'02_Employee_Master'!C22</f>
        <v/>
      </c>
      <c r="E24" s="69" t="inlineStr">
        <is>
          <t>M</t>
        </is>
      </c>
      <c r="F24" s="69" t="inlineStr">
        <is>
          <t>E</t>
        </is>
      </c>
      <c r="G24" s="69" t="inlineStr">
        <is>
          <t>M</t>
        </is>
      </c>
      <c r="H24" s="69" t="inlineStr">
        <is>
          <t>WO</t>
        </is>
      </c>
      <c r="I24" s="69" t="inlineStr">
        <is>
          <t>E</t>
        </is>
      </c>
      <c r="J24" s="69" t="inlineStr">
        <is>
          <t>M</t>
        </is>
      </c>
      <c r="K24" s="69" t="inlineStr">
        <is>
          <t>M</t>
        </is>
      </c>
      <c r="L24" s="30" t="inlineStr"/>
      <c r="M24" s="30" t="inlineStr"/>
    </row>
    <row r="25" ht="20" customHeight="1">
      <c r="A25" s="33">
        <f>'02_Employee_Master'!A23</f>
        <v/>
      </c>
      <c r="B25" s="11">
        <f>'02_Employee_Master'!B23</f>
        <v/>
      </c>
      <c r="C25" s="11">
        <f>'02_Employee_Master'!D23</f>
        <v/>
      </c>
      <c r="D25" s="11">
        <f>'02_Employee_Master'!C23</f>
        <v/>
      </c>
      <c r="E25" s="70" t="inlineStr">
        <is>
          <t>M</t>
        </is>
      </c>
      <c r="F25" s="70" t="inlineStr">
        <is>
          <t>M</t>
        </is>
      </c>
      <c r="G25" s="70" t="inlineStr">
        <is>
          <t>M</t>
        </is>
      </c>
      <c r="H25" s="70" t="inlineStr">
        <is>
          <t>M</t>
        </is>
      </c>
      <c r="I25" s="70" t="inlineStr">
        <is>
          <t>M</t>
        </is>
      </c>
      <c r="J25" s="70" t="inlineStr">
        <is>
          <t>WO</t>
        </is>
      </c>
      <c r="K25" s="70" t="inlineStr">
        <is>
          <t>M</t>
        </is>
      </c>
      <c r="L25" s="33" t="inlineStr"/>
      <c r="M25" s="33" t="inlineStr"/>
    </row>
    <row r="26" ht="20" customHeight="1">
      <c r="A26" s="30">
        <f>'02_Employee_Master'!A24</f>
        <v/>
      </c>
      <c r="B26" s="9">
        <f>'02_Employee_Master'!B24</f>
        <v/>
      </c>
      <c r="C26" s="9">
        <f>'02_Employee_Master'!D24</f>
        <v/>
      </c>
      <c r="D26" s="9">
        <f>'02_Employee_Master'!C24</f>
        <v/>
      </c>
      <c r="E26" s="69" t="inlineStr">
        <is>
          <t>WO</t>
        </is>
      </c>
      <c r="F26" s="69" t="inlineStr">
        <is>
          <t>M</t>
        </is>
      </c>
      <c r="G26" s="69" t="inlineStr">
        <is>
          <t>M</t>
        </is>
      </c>
      <c r="H26" s="69" t="inlineStr">
        <is>
          <t>M</t>
        </is>
      </c>
      <c r="I26" s="69" t="inlineStr">
        <is>
          <t>M</t>
        </is>
      </c>
      <c r="J26" s="69" t="inlineStr">
        <is>
          <t>M</t>
        </is>
      </c>
      <c r="K26" s="69" t="inlineStr">
        <is>
          <t>M</t>
        </is>
      </c>
      <c r="L26" s="30" t="inlineStr">
        <is>
          <t>Thomas Mathew</t>
        </is>
      </c>
      <c r="M26" s="30" t="inlineStr"/>
    </row>
    <row r="27" ht="20" customHeight="1">
      <c r="A27" s="33">
        <f>'02_Employee_Master'!A25</f>
        <v/>
      </c>
      <c r="B27" s="11">
        <f>'02_Employee_Master'!B25</f>
        <v/>
      </c>
      <c r="C27" s="11">
        <f>'02_Employee_Master'!D25</f>
        <v/>
      </c>
      <c r="D27" s="11">
        <f>'02_Employee_Master'!C25</f>
        <v/>
      </c>
      <c r="E27" s="70" t="inlineStr"/>
      <c r="F27" s="70" t="inlineStr"/>
      <c r="G27" s="70" t="inlineStr"/>
      <c r="H27" s="70" t="inlineStr"/>
      <c r="I27" s="70" t="inlineStr"/>
      <c r="J27" s="70" t="inlineStr"/>
      <c r="K27" s="70" t="inlineStr"/>
      <c r="L27" s="33" t="inlineStr"/>
      <c r="M27" s="33" t="inlineStr"/>
    </row>
    <row r="28">
      <c r="A28" s="61" t="inlineStr">
        <is>
          <t>On duty (M+E+N)</t>
        </is>
      </c>
      <c r="B28" s="13" t="n"/>
      <c r="C28" s="13" t="n"/>
      <c r="D28" s="13" t="n"/>
      <c r="E28" s="7">
        <f>COUNTIF(E8:E27,"M")+COUNTIF(E8:E27,"E")+COUNTIF(E8:E27,"N")</f>
        <v/>
      </c>
      <c r="F28" s="7">
        <f>COUNTIF(F8:F27,"M")+COUNTIF(F8:F27,"E")+COUNTIF(F8:F27,"N")</f>
        <v/>
      </c>
      <c r="G28" s="7">
        <f>COUNTIF(G8:G27,"M")+COUNTIF(G8:G27,"E")+COUNTIF(G8:G27,"N")</f>
        <v/>
      </c>
      <c r="H28" s="7">
        <f>COUNTIF(H8:H27,"M")+COUNTIF(H8:H27,"E")+COUNTIF(H8:H27,"N")</f>
        <v/>
      </c>
      <c r="I28" s="7">
        <f>COUNTIF(I8:I27,"M")+COUNTIF(I8:I27,"E")+COUNTIF(I8:I27,"N")</f>
        <v/>
      </c>
      <c r="J28" s="7">
        <f>COUNTIF(J8:J27,"M")+COUNTIF(J8:J27,"E")+COUNTIF(J8:J27,"N")</f>
        <v/>
      </c>
      <c r="K28" s="7">
        <f>COUNTIF(K8:K27,"M")+COUNTIF(K8:K27,"E")+COUNTIF(K8:K27,"N")</f>
        <v/>
      </c>
    </row>
  </sheetData>
  <mergeCells count="5">
    <mergeCell ref="A1:M1"/>
    <mergeCell ref="A3:M3"/>
    <mergeCell ref="H4:L4"/>
    <mergeCell ref="A28:D28"/>
    <mergeCell ref="A2:M2"/>
  </mergeCells>
  <conditionalFormatting sqref="E8:K27">
    <cfRule type="cellIs" priority="1" operator="equal" dxfId="10">
      <formula>"M"</formula>
    </cfRule>
    <cfRule type="cellIs" priority="2" operator="equal" dxfId="11">
      <formula>"E"</formula>
    </cfRule>
    <cfRule type="cellIs" priority="3" operator="equal" dxfId="12">
      <formula>"N"</formula>
    </cfRule>
    <cfRule type="cellIs" priority="4" operator="equal" dxfId="13">
      <formula>"WO"</formula>
    </cfRule>
    <cfRule type="cellIs" priority="5" operator="equal" dxfId="14">
      <formula>"PH"</formula>
    </cfRule>
    <cfRule type="cellIs" priority="6" operator="equal" dxfId="15">
      <formula>"LV"</formula>
    </cfRule>
    <cfRule type="cellIs" priority="7" operator="equal" dxfId="16">
      <formula>"TR"</formula>
    </cfRule>
  </conditionalFormatting>
  <conditionalFormatting sqref="E7:E27">
    <cfRule type="expression" priority="8" dxfId="17">
      <formula>E$6&gt;DAY(DATE('03_Roster'!$D$5,'03_Roster'!$B$5+1,0))</formula>
    </cfRule>
  </conditionalFormatting>
  <conditionalFormatting sqref="F7:F27">
    <cfRule type="expression" priority="9" dxfId="17">
      <formula>F$6&gt;DAY(DATE('03_Roster'!$D$5,'03_Roster'!$B$5+1,0))</formula>
    </cfRule>
  </conditionalFormatting>
  <conditionalFormatting sqref="G7:G27">
    <cfRule type="expression" priority="10" dxfId="17">
      <formula>G$6&gt;DAY(DATE('03_Roster'!$D$5,'03_Roster'!$B$5+1,0))</formula>
    </cfRule>
  </conditionalFormatting>
  <conditionalFormatting sqref="H7:H27">
    <cfRule type="expression" priority="11" dxfId="17">
      <formula>H$6&gt;DAY(DATE('03_Roster'!$D$5,'03_Roster'!$B$5+1,0))</formula>
    </cfRule>
  </conditionalFormatting>
  <conditionalFormatting sqref="I7:I27">
    <cfRule type="expression" priority="12" dxfId="17">
      <formula>I$6&gt;DAY(DATE('03_Roster'!$D$5,'03_Roster'!$B$5+1,0))</formula>
    </cfRule>
  </conditionalFormatting>
  <conditionalFormatting sqref="J7:J27">
    <cfRule type="expression" priority="13" dxfId="17">
      <formula>J$6&gt;DAY(DATE('03_Roster'!$D$5,'03_Roster'!$B$5+1,0))</formula>
    </cfRule>
  </conditionalFormatting>
  <conditionalFormatting sqref="K7:K27">
    <cfRule type="expression" priority="14" dxfId="17">
      <formula>K$6&gt;DAY(DATE('03_Roster'!$D$5,'03_Roster'!$B$5+1,0))</formula>
    </cfRule>
  </conditionalFormatting>
  <dataValidations count="1">
    <dataValidation sqref="E8 E9 E10 E11 E12 E13 E14 E15 E16 E17 E18 E19 E20 E21 E22 E23 E24 E25 E26 E27 F8 F9 F10 F11 F12 F13 F14 F15 F16 F17 F18 F19 F20 F21 F22 F23 F24 F25 F26 F27 G8 G9 G10 G11 G12 G13 G14 G15 G16 G17 G18 G19 G20 G21 G22 G23 G24 G25 G26 G27 H8 H9 H10 H11 H12 H13 H14 H15 H16 H17 H18 H19 H20 H21 H22 H23 H24 H25 H26 H27 I8 I9 I10 I11 I12 I13 I14 I15 I16 I17 I18 I19 I20 I21 I22 I23 I24 I25 I26 I27 J8 J9 J10 J11 J12 J13 J14 J15 J16 J17 J18 J19 J20 J21 J22 J23 J24 J25 J26 J27 K8 K9 K10 K11 K12 K13 K14 K15 K16 K17 K18 K19 K20 K21 K22 K23 K24 K25 K26 K27" showDropDown="0" showInputMessage="0" showErrorMessage="0" allowBlank="1" promptTitle="Week 1 shift" prompt="M Morning · E Evening · N Night · WO Off · PH · LV · TR" type="list">
      <formula1>"M,E,N,WO,PH,LV,TR"</formula1>
    </dataValidation>
  </dataValidations>
  <hyperlinks>
    <hyperlink xmlns:r="http://schemas.openxmlformats.org/officeDocument/2006/relationships" ref="B4" r:id="rId1"/>
    <hyperlink xmlns:r="http://schemas.openxmlformats.org/officeDocument/2006/relationships" ref="C4" r:id="rId2"/>
    <hyperlink xmlns:r="http://schemas.openxmlformats.org/officeDocument/2006/relationships" ref="D4" r:id="rId3"/>
    <hyperlink xmlns:r="http://schemas.openxmlformats.org/officeDocument/2006/relationships" ref="E4" r:id="rId4"/>
    <hyperlink xmlns:r="http://schemas.openxmlformats.org/officeDocument/2006/relationships" ref="F4" r:id="rId5"/>
    <hyperlink xmlns:r="http://schemas.openxmlformats.org/officeDocument/2006/relationships" ref="G4" r:id="rId6"/>
  </hyperlinks>
  <pageMargins left="0.4" right="0.4" top="0.5" bottom="0.5" header="0.2" footer="0.2"/>
  <pageSetup orientation="landscape" paperSize="9" fitToHeight="0" fitToWidth="1"/>
</worksheet>
</file>

<file path=xl/worksheets/sheet6.xml><?xml version="1.0" encoding="utf-8"?>
<worksheet xmlns="http://schemas.openxmlformats.org/spreadsheetml/2006/main">
  <sheetPr>
    <tabColor rgb="001565C0"/>
    <outlinePr summaryBelow="1" summaryRight="1"/>
    <pageSetUpPr fitToPage="1"/>
  </sheetPr>
  <dimension ref="A1:M28"/>
  <sheetViews>
    <sheetView showGridLines="0" zoomScale="90" workbookViewId="0">
      <pane xSplit="4" ySplit="7" topLeftCell="E8"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6" customWidth="1" min="3" max="3"/>
    <col width="22" customWidth="1" min="4" max="4"/>
    <col width="8" customWidth="1" min="5" max="5"/>
    <col width="8" customWidth="1" min="6" max="6"/>
    <col width="8" customWidth="1" min="7" max="7"/>
    <col width="8" customWidth="1" min="8" max="8"/>
    <col width="8" customWidth="1" min="9" max="9"/>
    <col width="8" customWidth="1" min="10" max="10"/>
    <col width="8" customWidth="1" min="11" max="11"/>
    <col width="18" customWidth="1" min="12" max="12"/>
    <col width="28" customWidth="1" min="13" max="13"/>
  </cols>
  <sheetData>
    <row r="1" ht="16" customHeight="1">
      <c r="A1" s="1" t="inlineStr">
        <is>
          <t>PATHCARE DIAGNOSTICS  ·  Pathology Laboratory</t>
        </is>
      </c>
      <c r="B1" s="2" t="n"/>
      <c r="C1" s="2" t="n"/>
      <c r="D1" s="2" t="n"/>
      <c r="E1" s="2" t="n"/>
      <c r="F1" s="2" t="n"/>
      <c r="G1" s="2" t="n"/>
      <c r="H1" s="2" t="n"/>
      <c r="I1" s="2" t="n"/>
      <c r="J1" s="2" t="n"/>
      <c r="K1" s="2" t="n"/>
      <c r="L1" s="2" t="n"/>
      <c r="M1" s="2" t="n"/>
    </row>
    <row r="2" ht="26" customHeight="1">
      <c r="A2" s="3" t="inlineStr">
        <is>
          <t>WEEK 2 ROSTER  ·  Days 8–14</t>
        </is>
      </c>
      <c r="B2" s="2" t="n"/>
      <c r="C2" s="2" t="n"/>
      <c r="D2" s="2" t="n"/>
      <c r="E2" s="2" t="n"/>
      <c r="F2" s="2" t="n"/>
      <c r="G2" s="2" t="n"/>
      <c r="H2" s="2" t="n"/>
      <c r="I2" s="2" t="n"/>
      <c r="J2" s="2" t="n"/>
      <c r="K2" s="2" t="n"/>
      <c r="L2" s="2" t="n"/>
      <c r="M2" s="2" t="n"/>
    </row>
    <row r="3" ht="18" customHeight="1">
      <c r="A3" s="4" t="inlineStr">
        <is>
          <t>Edit shifts here  ·  Syncs to Full Month automatically  ·  Period = Roster Month/Year</t>
        </is>
      </c>
      <c r="B3" s="2" t="n"/>
      <c r="C3" s="2" t="n"/>
      <c r="D3" s="2" t="n"/>
      <c r="E3" s="2" t="n"/>
      <c r="F3" s="2" t="n"/>
      <c r="G3" s="2" t="n"/>
      <c r="H3" s="2" t="n"/>
      <c r="I3" s="2" t="n"/>
      <c r="J3" s="2" t="n"/>
      <c r="K3" s="2" t="n"/>
      <c r="L3" s="2" t="n"/>
      <c r="M3" s="2" t="n"/>
    </row>
    <row r="4" ht="22" customHeight="1">
      <c r="A4" s="7" t="inlineStr">
        <is>
          <t>GO →</t>
        </is>
      </c>
      <c r="B4" s="50" t="inlineStr">
        <is>
          <t>Full Month</t>
        </is>
      </c>
      <c r="C4" s="51" t="inlineStr">
        <is>
          <t>▶ W1</t>
        </is>
      </c>
      <c r="D4" s="52" t="inlineStr">
        <is>
          <t>● W2</t>
        </is>
      </c>
      <c r="E4" s="53" t="inlineStr">
        <is>
          <t>▶ W3</t>
        </is>
      </c>
      <c r="F4" s="54" t="inlineStr">
        <is>
          <t>▶ W4</t>
        </is>
      </c>
      <c r="G4" s="55" t="inlineStr">
        <is>
          <t>▶ W5</t>
        </is>
      </c>
      <c r="H4" s="68" t="inlineStr">
        <is>
          <t>You are on Week 2  |  Drop-down: M E N WO PH LV TR</t>
        </is>
      </c>
    </row>
    <row r="5">
      <c r="A5" s="29" t="inlineStr">
        <is>
          <t>Month</t>
        </is>
      </c>
      <c r="B5" s="28">
        <f>'03_Roster'!B5</f>
        <v/>
      </c>
      <c r="C5" s="29" t="inlineStr">
        <is>
          <t>Year</t>
        </is>
      </c>
      <c r="D5" s="28">
        <f>'03_Roster'!D5</f>
        <v/>
      </c>
    </row>
    <row r="6">
      <c r="A6" s="29" t="inlineStr">
        <is>
          <t>Emp ID</t>
        </is>
      </c>
      <c r="B6" s="29" t="inlineStr">
        <is>
          <t>Employee Name</t>
        </is>
      </c>
      <c r="C6" s="29" t="inlineStr">
        <is>
          <t>Department</t>
        </is>
      </c>
      <c r="D6" s="29" t="inlineStr">
        <is>
          <t>Designation</t>
        </is>
      </c>
      <c r="E6" s="71" t="n">
        <v>8</v>
      </c>
      <c r="F6" s="71" t="n">
        <v>9</v>
      </c>
      <c r="G6" s="71" t="n">
        <v>10</v>
      </c>
      <c r="H6" s="71" t="n">
        <v>11</v>
      </c>
      <c r="I6" s="71" t="n">
        <v>12</v>
      </c>
      <c r="J6" s="71" t="n">
        <v>13</v>
      </c>
      <c r="K6" s="71" t="n">
        <v>14</v>
      </c>
      <c r="L6" s="57" t="inlineStr">
        <is>
          <t>Backup</t>
        </is>
      </c>
      <c r="M6" s="57" t="inlineStr">
        <is>
          <t>Week notes</t>
        </is>
      </c>
    </row>
    <row r="7">
      <c r="A7" s="13" t="n"/>
      <c r="B7" s="13" t="n"/>
      <c r="C7" s="13" t="n"/>
      <c r="D7" s="13" t="n"/>
      <c r="E7" s="58">
        <f>IF(E$6&gt;DAY(DATE('03_Roster'!$D$5,'03_Roster'!$B$5+1,0)),"",TEXT(DATE('03_Roster'!$D$5,'03_Roster'!$B$5,E$6),"DDD"))</f>
        <v/>
      </c>
      <c r="F7" s="58">
        <f>IF(F$6&gt;DAY(DATE('03_Roster'!$D$5,'03_Roster'!$B$5+1,0)),"",TEXT(DATE('03_Roster'!$D$5,'03_Roster'!$B$5,F$6),"DDD"))</f>
        <v/>
      </c>
      <c r="G7" s="58">
        <f>IF(G$6&gt;DAY(DATE('03_Roster'!$D$5,'03_Roster'!$B$5+1,0)),"",TEXT(DATE('03_Roster'!$D$5,'03_Roster'!$B$5,G$6),"DDD"))</f>
        <v/>
      </c>
      <c r="H7" s="58">
        <f>IF(H$6&gt;DAY(DATE('03_Roster'!$D$5,'03_Roster'!$B$5+1,0)),"",TEXT(DATE('03_Roster'!$D$5,'03_Roster'!$B$5,H$6),"DDD"))</f>
        <v/>
      </c>
      <c r="I7" s="58">
        <f>IF(I$6&gt;DAY(DATE('03_Roster'!$D$5,'03_Roster'!$B$5+1,0)),"",TEXT(DATE('03_Roster'!$D$5,'03_Roster'!$B$5,I$6),"DDD"))</f>
        <v/>
      </c>
      <c r="J7" s="58">
        <f>IF(J$6&gt;DAY(DATE('03_Roster'!$D$5,'03_Roster'!$B$5+1,0)),"",TEXT(DATE('03_Roster'!$D$5,'03_Roster'!$B$5,J$6),"DDD"))</f>
        <v/>
      </c>
      <c r="K7" s="58">
        <f>IF(K$6&gt;DAY(DATE('03_Roster'!$D$5,'03_Roster'!$B$5+1,0)),"",TEXT(DATE('03_Roster'!$D$5,'03_Roster'!$B$5,K$6),"DDD"))</f>
        <v/>
      </c>
      <c r="L7" s="13" t="n"/>
      <c r="M7" s="13" t="n"/>
    </row>
    <row r="8" ht="20" customHeight="1">
      <c r="A8" s="30">
        <f>'02_Employee_Master'!A6</f>
        <v/>
      </c>
      <c r="B8" s="9">
        <f>'02_Employee_Master'!B6</f>
        <v/>
      </c>
      <c r="C8" s="9">
        <f>'02_Employee_Master'!D6</f>
        <v/>
      </c>
      <c r="D8" s="9">
        <f>'02_Employee_Master'!C6</f>
        <v/>
      </c>
      <c r="E8" s="69" t="inlineStr">
        <is>
          <t>M</t>
        </is>
      </c>
      <c r="F8" s="69" t="inlineStr">
        <is>
          <t>M</t>
        </is>
      </c>
      <c r="G8" s="69" t="inlineStr">
        <is>
          <t>M</t>
        </is>
      </c>
      <c r="H8" s="69" t="inlineStr">
        <is>
          <t>M</t>
        </is>
      </c>
      <c r="I8" s="69" t="inlineStr">
        <is>
          <t>M</t>
        </is>
      </c>
      <c r="J8" s="69" t="inlineStr">
        <is>
          <t>M</t>
        </is>
      </c>
      <c r="K8" s="69" t="inlineStr">
        <is>
          <t>WO</t>
        </is>
      </c>
      <c r="L8" s="30" t="inlineStr">
        <is>
          <t>Vikram Singh</t>
        </is>
      </c>
      <c r="M8" s="30" t="inlineStr"/>
    </row>
    <row r="9" ht="20" customHeight="1">
      <c r="A9" s="33">
        <f>'02_Employee_Master'!A7</f>
        <v/>
      </c>
      <c r="B9" s="11">
        <f>'02_Employee_Master'!B7</f>
        <v/>
      </c>
      <c r="C9" s="11">
        <f>'02_Employee_Master'!D7</f>
        <v/>
      </c>
      <c r="D9" s="11">
        <f>'02_Employee_Master'!C7</f>
        <v/>
      </c>
      <c r="E9" s="70" t="inlineStr">
        <is>
          <t>M</t>
        </is>
      </c>
      <c r="F9" s="70" t="inlineStr">
        <is>
          <t>WO</t>
        </is>
      </c>
      <c r="G9" s="70" t="inlineStr">
        <is>
          <t>M</t>
        </is>
      </c>
      <c r="H9" s="70" t="inlineStr">
        <is>
          <t>M</t>
        </is>
      </c>
      <c r="I9" s="70" t="inlineStr">
        <is>
          <t>M</t>
        </is>
      </c>
      <c r="J9" s="70" t="inlineStr">
        <is>
          <t>M</t>
        </is>
      </c>
      <c r="K9" s="70" t="inlineStr">
        <is>
          <t>E</t>
        </is>
      </c>
      <c r="L9" s="33" t="inlineStr"/>
      <c r="M9" s="33" t="inlineStr"/>
    </row>
    <row r="10" ht="20" customHeight="1">
      <c r="A10" s="30">
        <f>'02_Employee_Master'!A8</f>
        <v/>
      </c>
      <c r="B10" s="9">
        <f>'02_Employee_Master'!B8</f>
        <v/>
      </c>
      <c r="C10" s="9">
        <f>'02_Employee_Master'!D8</f>
        <v/>
      </c>
      <c r="D10" s="9">
        <f>'02_Employee_Master'!C8</f>
        <v/>
      </c>
      <c r="E10" s="69" t="inlineStr">
        <is>
          <t>N</t>
        </is>
      </c>
      <c r="F10" s="69" t="inlineStr">
        <is>
          <t>M</t>
        </is>
      </c>
      <c r="G10" s="69" t="inlineStr">
        <is>
          <t>M</t>
        </is>
      </c>
      <c r="H10" s="69" t="inlineStr">
        <is>
          <t>WO</t>
        </is>
      </c>
      <c r="I10" s="69" t="inlineStr">
        <is>
          <t>M</t>
        </is>
      </c>
      <c r="J10" s="69" t="inlineStr">
        <is>
          <t>E</t>
        </is>
      </c>
      <c r="K10" s="69" t="inlineStr">
        <is>
          <t>M</t>
        </is>
      </c>
      <c r="L10" s="30" t="inlineStr"/>
      <c r="M10" s="30" t="inlineStr"/>
    </row>
    <row r="11" ht="20" customHeight="1">
      <c r="A11" s="33">
        <f>'02_Employee_Master'!A9</f>
        <v/>
      </c>
      <c r="B11" s="11">
        <f>'02_Employee_Master'!B9</f>
        <v/>
      </c>
      <c r="C11" s="11">
        <f>'02_Employee_Master'!D9</f>
        <v/>
      </c>
      <c r="D11" s="11">
        <f>'02_Employee_Master'!C9</f>
        <v/>
      </c>
      <c r="E11" s="70" t="inlineStr">
        <is>
          <t>M</t>
        </is>
      </c>
      <c r="F11" s="70" t="inlineStr">
        <is>
          <t>M</t>
        </is>
      </c>
      <c r="G11" s="70" t="inlineStr">
        <is>
          <t>M</t>
        </is>
      </c>
      <c r="H11" s="70" t="inlineStr">
        <is>
          <t>M</t>
        </is>
      </c>
      <c r="I11" s="70" t="inlineStr">
        <is>
          <t>E</t>
        </is>
      </c>
      <c r="J11" s="70" t="inlineStr">
        <is>
          <t>WO</t>
        </is>
      </c>
      <c r="K11" s="70" t="inlineStr">
        <is>
          <t>N</t>
        </is>
      </c>
      <c r="L11" s="33" t="inlineStr"/>
      <c r="M11" s="33" t="inlineStr"/>
    </row>
    <row r="12" ht="20" customHeight="1">
      <c r="A12" s="30">
        <f>'02_Employee_Master'!A10</f>
        <v/>
      </c>
      <c r="B12" s="9">
        <f>'02_Employee_Master'!B10</f>
        <v/>
      </c>
      <c r="C12" s="9">
        <f>'02_Employee_Master'!D10</f>
        <v/>
      </c>
      <c r="D12" s="9">
        <f>'02_Employee_Master'!C10</f>
        <v/>
      </c>
      <c r="E12" s="69" t="inlineStr">
        <is>
          <t>WO</t>
        </is>
      </c>
      <c r="F12" s="69" t="inlineStr">
        <is>
          <t>M</t>
        </is>
      </c>
      <c r="G12" s="69" t="inlineStr">
        <is>
          <t>M</t>
        </is>
      </c>
      <c r="H12" s="69" t="inlineStr">
        <is>
          <t>E</t>
        </is>
      </c>
      <c r="I12" s="69" t="inlineStr">
        <is>
          <t>M</t>
        </is>
      </c>
      <c r="J12" s="69" t="inlineStr">
        <is>
          <t>M</t>
        </is>
      </c>
      <c r="K12" s="69" t="inlineStr">
        <is>
          <t>E</t>
        </is>
      </c>
      <c r="L12" s="30" t="inlineStr"/>
      <c r="M12" s="30" t="inlineStr"/>
    </row>
    <row r="13" ht="20" customHeight="1">
      <c r="A13" s="33">
        <f>'02_Employee_Master'!A11</f>
        <v/>
      </c>
      <c r="B13" s="11">
        <f>'02_Employee_Master'!B11</f>
        <v/>
      </c>
      <c r="C13" s="11">
        <f>'02_Employee_Master'!D11</f>
        <v/>
      </c>
      <c r="D13" s="11">
        <f>'02_Employee_Master'!C11</f>
        <v/>
      </c>
      <c r="E13" s="70" t="inlineStr">
        <is>
          <t>M</t>
        </is>
      </c>
      <c r="F13" s="70" t="inlineStr">
        <is>
          <t>M</t>
        </is>
      </c>
      <c r="G13" s="70" t="inlineStr">
        <is>
          <t>WO</t>
        </is>
      </c>
      <c r="H13" s="70" t="inlineStr">
        <is>
          <t>M</t>
        </is>
      </c>
      <c r="I13" s="70" t="inlineStr">
        <is>
          <t>N</t>
        </is>
      </c>
      <c r="J13" s="70" t="inlineStr">
        <is>
          <t>M</t>
        </is>
      </c>
      <c r="K13" s="70" t="inlineStr">
        <is>
          <t>M</t>
        </is>
      </c>
      <c r="L13" s="33" t="inlineStr"/>
      <c r="M13" s="33" t="inlineStr"/>
    </row>
    <row r="14" ht="20" customHeight="1">
      <c r="A14" s="30">
        <f>'02_Employee_Master'!A12</f>
        <v/>
      </c>
      <c r="B14" s="9">
        <f>'02_Employee_Master'!B12</f>
        <v/>
      </c>
      <c r="C14" s="9">
        <f>'02_Employee_Master'!D12</f>
        <v/>
      </c>
      <c r="D14" s="9">
        <f>'02_Employee_Master'!C12</f>
        <v/>
      </c>
      <c r="E14" s="69" t="inlineStr">
        <is>
          <t>M</t>
        </is>
      </c>
      <c r="F14" s="69" t="inlineStr">
        <is>
          <t>E</t>
        </is>
      </c>
      <c r="G14" s="69" t="inlineStr">
        <is>
          <t>M</t>
        </is>
      </c>
      <c r="H14" s="69" t="inlineStr">
        <is>
          <t>M</t>
        </is>
      </c>
      <c r="I14" s="69" t="inlineStr">
        <is>
          <t>WO</t>
        </is>
      </c>
      <c r="J14" s="69" t="inlineStr">
        <is>
          <t>M</t>
        </is>
      </c>
      <c r="K14" s="69" t="inlineStr">
        <is>
          <t>M</t>
        </is>
      </c>
      <c r="L14" s="30" t="inlineStr">
        <is>
          <t>Karan Malhotra</t>
        </is>
      </c>
      <c r="M14" s="30" t="inlineStr"/>
    </row>
    <row r="15" ht="20" customHeight="1">
      <c r="A15" s="33">
        <f>'02_Employee_Master'!A13</f>
        <v/>
      </c>
      <c r="B15" s="11">
        <f>'02_Employee_Master'!B13</f>
        <v/>
      </c>
      <c r="C15" s="11">
        <f>'02_Employee_Master'!D13</f>
        <v/>
      </c>
      <c r="D15" s="11">
        <f>'02_Employee_Master'!C13</f>
        <v/>
      </c>
      <c r="E15" s="70" t="inlineStr">
        <is>
          <t>E</t>
        </is>
      </c>
      <c r="F15" s="70" t="inlineStr">
        <is>
          <t>M</t>
        </is>
      </c>
      <c r="G15" s="70" t="inlineStr">
        <is>
          <t>N</t>
        </is>
      </c>
      <c r="H15" s="70" t="inlineStr">
        <is>
          <t>M</t>
        </is>
      </c>
      <c r="I15" s="70" t="inlineStr">
        <is>
          <t>M</t>
        </is>
      </c>
      <c r="J15" s="70" t="inlineStr">
        <is>
          <t>E</t>
        </is>
      </c>
      <c r="K15" s="70" t="inlineStr">
        <is>
          <t>WO</t>
        </is>
      </c>
      <c r="L15" s="33" t="inlineStr"/>
      <c r="M15" s="33" t="inlineStr"/>
    </row>
    <row r="16" ht="20" customHeight="1">
      <c r="A16" s="30">
        <f>'02_Employee_Master'!A14</f>
        <v/>
      </c>
      <c r="B16" s="9">
        <f>'02_Employee_Master'!B14</f>
        <v/>
      </c>
      <c r="C16" s="9">
        <f>'02_Employee_Master'!D14</f>
        <v/>
      </c>
      <c r="D16" s="9">
        <f>'02_Employee_Master'!C14</f>
        <v/>
      </c>
      <c r="E16" s="69" t="inlineStr">
        <is>
          <t>M</t>
        </is>
      </c>
      <c r="F16" s="69" t="inlineStr">
        <is>
          <t>WO</t>
        </is>
      </c>
      <c r="G16" s="69" t="inlineStr">
        <is>
          <t>M</t>
        </is>
      </c>
      <c r="H16" s="69" t="inlineStr">
        <is>
          <t>M</t>
        </is>
      </c>
      <c r="I16" s="69" t="inlineStr">
        <is>
          <t>M</t>
        </is>
      </c>
      <c r="J16" s="69" t="inlineStr">
        <is>
          <t>M</t>
        </is>
      </c>
      <c r="K16" s="69" t="inlineStr">
        <is>
          <t>M</t>
        </is>
      </c>
      <c r="L16" s="30" t="inlineStr"/>
      <c r="M16" s="30" t="inlineStr"/>
    </row>
    <row r="17" ht="20" customHeight="1">
      <c r="A17" s="33">
        <f>'02_Employee_Master'!A15</f>
        <v/>
      </c>
      <c r="B17" s="11">
        <f>'02_Employee_Master'!B15</f>
        <v/>
      </c>
      <c r="C17" s="11">
        <f>'02_Employee_Master'!D15</f>
        <v/>
      </c>
      <c r="D17" s="11">
        <f>'02_Employee_Master'!C15</f>
        <v/>
      </c>
      <c r="E17" s="70" t="inlineStr">
        <is>
          <t>M</t>
        </is>
      </c>
      <c r="F17" s="70" t="inlineStr">
        <is>
          <t>E</t>
        </is>
      </c>
      <c r="G17" s="70" t="inlineStr">
        <is>
          <t>M</t>
        </is>
      </c>
      <c r="H17" s="70" t="inlineStr">
        <is>
          <t>WO</t>
        </is>
      </c>
      <c r="I17" s="70" t="inlineStr">
        <is>
          <t>E</t>
        </is>
      </c>
      <c r="J17" s="70" t="inlineStr">
        <is>
          <t>M</t>
        </is>
      </c>
      <c r="K17" s="70" t="inlineStr">
        <is>
          <t>M</t>
        </is>
      </c>
      <c r="L17" s="33" t="inlineStr"/>
      <c r="M17" s="33" t="inlineStr"/>
    </row>
    <row r="18" ht="20" customHeight="1">
      <c r="A18" s="30">
        <f>'02_Employee_Master'!A16</f>
        <v/>
      </c>
      <c r="B18" s="9">
        <f>'02_Employee_Master'!B16</f>
        <v/>
      </c>
      <c r="C18" s="9">
        <f>'02_Employee_Master'!D16</f>
        <v/>
      </c>
      <c r="D18" s="9">
        <f>'02_Employee_Master'!C16</f>
        <v/>
      </c>
      <c r="E18" s="69" t="inlineStr">
        <is>
          <t>M</t>
        </is>
      </c>
      <c r="F18" s="69" t="inlineStr">
        <is>
          <t>M</t>
        </is>
      </c>
      <c r="G18" s="69" t="inlineStr">
        <is>
          <t>M</t>
        </is>
      </c>
      <c r="H18" s="69" t="inlineStr">
        <is>
          <t>M</t>
        </is>
      </c>
      <c r="I18" s="69" t="inlineStr">
        <is>
          <t>M</t>
        </is>
      </c>
      <c r="J18" s="69" t="inlineStr">
        <is>
          <t>WO</t>
        </is>
      </c>
      <c r="K18" s="69" t="inlineStr">
        <is>
          <t>M</t>
        </is>
      </c>
      <c r="L18" s="30" t="inlineStr"/>
      <c r="M18" s="30" t="inlineStr"/>
    </row>
    <row r="19" ht="20" customHeight="1">
      <c r="A19" s="33">
        <f>'02_Employee_Master'!A17</f>
        <v/>
      </c>
      <c r="B19" s="11">
        <f>'02_Employee_Master'!B17</f>
        <v/>
      </c>
      <c r="C19" s="11">
        <f>'02_Employee_Master'!D17</f>
        <v/>
      </c>
      <c r="D19" s="11">
        <f>'02_Employee_Master'!C17</f>
        <v/>
      </c>
      <c r="E19" s="70" t="inlineStr">
        <is>
          <t>WO</t>
        </is>
      </c>
      <c r="F19" s="70" t="inlineStr">
        <is>
          <t>E</t>
        </is>
      </c>
      <c r="G19" s="70" t="inlineStr">
        <is>
          <t>M</t>
        </is>
      </c>
      <c r="H19" s="70" t="inlineStr">
        <is>
          <t>M</t>
        </is>
      </c>
      <c r="I19" s="70" t="inlineStr">
        <is>
          <t>M</t>
        </is>
      </c>
      <c r="J19" s="70" t="inlineStr">
        <is>
          <t>N</t>
        </is>
      </c>
      <c r="K19" s="70" t="inlineStr">
        <is>
          <t>E</t>
        </is>
      </c>
      <c r="L19" s="33" t="inlineStr"/>
      <c r="M19" s="33" t="inlineStr"/>
    </row>
    <row r="20" ht="20" customHeight="1">
      <c r="A20" s="30">
        <f>'02_Employee_Master'!A18</f>
        <v/>
      </c>
      <c r="B20" s="9">
        <f>'02_Employee_Master'!B18</f>
        <v/>
      </c>
      <c r="C20" s="9">
        <f>'02_Employee_Master'!D18</f>
        <v/>
      </c>
      <c r="D20" s="9">
        <f>'02_Employee_Master'!C18</f>
        <v/>
      </c>
      <c r="E20" s="69" t="inlineStr">
        <is>
          <t>M</t>
        </is>
      </c>
      <c r="F20" s="69" t="inlineStr">
        <is>
          <t>M</t>
        </is>
      </c>
      <c r="G20" s="69" t="inlineStr">
        <is>
          <t>WO</t>
        </is>
      </c>
      <c r="H20" s="69" t="inlineStr">
        <is>
          <t>M</t>
        </is>
      </c>
      <c r="I20" s="69" t="inlineStr">
        <is>
          <t>M</t>
        </is>
      </c>
      <c r="J20" s="69" t="inlineStr">
        <is>
          <t>M</t>
        </is>
      </c>
      <c r="K20" s="69" t="inlineStr">
        <is>
          <t>M</t>
        </is>
      </c>
      <c r="L20" s="30" t="inlineStr">
        <is>
          <t>Deepak Joshi</t>
        </is>
      </c>
      <c r="M20" s="30" t="inlineStr"/>
    </row>
    <row r="21" ht="20" customHeight="1">
      <c r="A21" s="33">
        <f>'02_Employee_Master'!A19</f>
        <v/>
      </c>
      <c r="B21" s="11">
        <f>'02_Employee_Master'!B19</f>
        <v/>
      </c>
      <c r="C21" s="11">
        <f>'02_Employee_Master'!D19</f>
        <v/>
      </c>
      <c r="D21" s="11">
        <f>'02_Employee_Master'!C19</f>
        <v/>
      </c>
      <c r="E21" s="70" t="inlineStr">
        <is>
          <t>E</t>
        </is>
      </c>
      <c r="F21" s="70" t="inlineStr">
        <is>
          <t>M</t>
        </is>
      </c>
      <c r="G21" s="70" t="inlineStr">
        <is>
          <t>M</t>
        </is>
      </c>
      <c r="H21" s="70" t="inlineStr">
        <is>
          <t>E</t>
        </is>
      </c>
      <c r="I21" s="70" t="inlineStr">
        <is>
          <t>WO</t>
        </is>
      </c>
      <c r="J21" s="70" t="inlineStr">
        <is>
          <t>M</t>
        </is>
      </c>
      <c r="K21" s="70" t="inlineStr">
        <is>
          <t>E</t>
        </is>
      </c>
      <c r="L21" s="33" t="inlineStr"/>
      <c r="M21" s="33" t="inlineStr"/>
    </row>
    <row r="22" ht="20" customHeight="1">
      <c r="A22" s="30">
        <f>'02_Employee_Master'!A20</f>
        <v/>
      </c>
      <c r="B22" s="9">
        <f>'02_Employee_Master'!B20</f>
        <v/>
      </c>
      <c r="C22" s="9">
        <f>'02_Employee_Master'!D20</f>
        <v/>
      </c>
      <c r="D22" s="9">
        <f>'02_Employee_Master'!C20</f>
        <v/>
      </c>
      <c r="E22" s="69" t="inlineStr">
        <is>
          <t>M</t>
        </is>
      </c>
      <c r="F22" s="69" t="inlineStr">
        <is>
          <t>M</t>
        </is>
      </c>
      <c r="G22" s="69" t="inlineStr">
        <is>
          <t>M</t>
        </is>
      </c>
      <c r="H22" s="69" t="inlineStr">
        <is>
          <t>M</t>
        </is>
      </c>
      <c r="I22" s="69" t="inlineStr">
        <is>
          <t>M</t>
        </is>
      </c>
      <c r="J22" s="69" t="inlineStr">
        <is>
          <t>M</t>
        </is>
      </c>
      <c r="K22" s="69" t="inlineStr">
        <is>
          <t>WO</t>
        </is>
      </c>
      <c r="L22" s="30" t="inlineStr"/>
      <c r="M22" s="30" t="inlineStr"/>
    </row>
    <row r="23" ht="20" customHeight="1">
      <c r="A23" s="33">
        <f>'02_Employee_Master'!A21</f>
        <v/>
      </c>
      <c r="B23" s="11">
        <f>'02_Employee_Master'!B21</f>
        <v/>
      </c>
      <c r="C23" s="11">
        <f>'02_Employee_Master'!D21</f>
        <v/>
      </c>
      <c r="D23" s="11">
        <f>'02_Employee_Master'!C21</f>
        <v/>
      </c>
      <c r="E23" s="70" t="inlineStr">
        <is>
          <t>M</t>
        </is>
      </c>
      <c r="F23" s="70" t="inlineStr">
        <is>
          <t>WO</t>
        </is>
      </c>
      <c r="G23" s="70" t="inlineStr">
        <is>
          <t>E</t>
        </is>
      </c>
      <c r="H23" s="70" t="inlineStr">
        <is>
          <t>M</t>
        </is>
      </c>
      <c r="I23" s="70" t="inlineStr">
        <is>
          <t>M</t>
        </is>
      </c>
      <c r="J23" s="70" t="inlineStr">
        <is>
          <t>M</t>
        </is>
      </c>
      <c r="K23" s="70" t="inlineStr">
        <is>
          <t>M</t>
        </is>
      </c>
      <c r="L23" s="33" t="inlineStr"/>
      <c r="M23" s="33" t="inlineStr"/>
    </row>
    <row r="24" ht="20" customHeight="1">
      <c r="A24" s="30">
        <f>'02_Employee_Master'!A22</f>
        <v/>
      </c>
      <c r="B24" s="9">
        <f>'02_Employee_Master'!B22</f>
        <v/>
      </c>
      <c r="C24" s="9">
        <f>'02_Employee_Master'!D22</f>
        <v/>
      </c>
      <c r="D24" s="9">
        <f>'02_Employee_Master'!C22</f>
        <v/>
      </c>
      <c r="E24" s="69" t="inlineStr">
        <is>
          <t>E</t>
        </is>
      </c>
      <c r="F24" s="69" t="inlineStr">
        <is>
          <t>M</t>
        </is>
      </c>
      <c r="G24" s="69" t="inlineStr">
        <is>
          <t>M</t>
        </is>
      </c>
      <c r="H24" s="69" t="inlineStr">
        <is>
          <t>WO</t>
        </is>
      </c>
      <c r="I24" s="69" t="inlineStr">
        <is>
          <t>M</t>
        </is>
      </c>
      <c r="J24" s="69" t="inlineStr">
        <is>
          <t>M</t>
        </is>
      </c>
      <c r="K24" s="69" t="inlineStr">
        <is>
          <t>E</t>
        </is>
      </c>
      <c r="L24" s="30" t="inlineStr"/>
      <c r="M24" s="30" t="inlineStr"/>
    </row>
    <row r="25" ht="20" customHeight="1">
      <c r="A25" s="33">
        <f>'02_Employee_Master'!A23</f>
        <v/>
      </c>
      <c r="B25" s="11">
        <f>'02_Employee_Master'!B23</f>
        <v/>
      </c>
      <c r="C25" s="11">
        <f>'02_Employee_Master'!D23</f>
        <v/>
      </c>
      <c r="D25" s="11">
        <f>'02_Employee_Master'!C23</f>
        <v/>
      </c>
      <c r="E25" s="70" t="inlineStr">
        <is>
          <t>M</t>
        </is>
      </c>
      <c r="F25" s="70" t="inlineStr">
        <is>
          <t>M</t>
        </is>
      </c>
      <c r="G25" s="70" t="inlineStr">
        <is>
          <t>M</t>
        </is>
      </c>
      <c r="H25" s="70" t="inlineStr">
        <is>
          <t>M</t>
        </is>
      </c>
      <c r="I25" s="70" t="inlineStr">
        <is>
          <t>M</t>
        </is>
      </c>
      <c r="J25" s="70" t="inlineStr">
        <is>
          <t>WO</t>
        </is>
      </c>
      <c r="K25" s="70" t="inlineStr">
        <is>
          <t>M</t>
        </is>
      </c>
      <c r="L25" s="33" t="inlineStr"/>
      <c r="M25" s="33" t="inlineStr"/>
    </row>
    <row r="26" ht="20" customHeight="1">
      <c r="A26" s="30">
        <f>'02_Employee_Master'!A24</f>
        <v/>
      </c>
      <c r="B26" s="9">
        <f>'02_Employee_Master'!B24</f>
        <v/>
      </c>
      <c r="C26" s="9">
        <f>'02_Employee_Master'!D24</f>
        <v/>
      </c>
      <c r="D26" s="9">
        <f>'02_Employee_Master'!C24</f>
        <v/>
      </c>
      <c r="E26" s="69" t="inlineStr">
        <is>
          <t>WO</t>
        </is>
      </c>
      <c r="F26" s="69" t="inlineStr">
        <is>
          <t>M</t>
        </is>
      </c>
      <c r="G26" s="69" t="inlineStr">
        <is>
          <t>M</t>
        </is>
      </c>
      <c r="H26" s="69" t="inlineStr">
        <is>
          <t>M</t>
        </is>
      </c>
      <c r="I26" s="69" t="inlineStr">
        <is>
          <t>M</t>
        </is>
      </c>
      <c r="J26" s="69" t="inlineStr">
        <is>
          <t>M</t>
        </is>
      </c>
      <c r="K26" s="69" t="inlineStr">
        <is>
          <t>M</t>
        </is>
      </c>
      <c r="L26" s="30" t="inlineStr">
        <is>
          <t>Thomas Mathew</t>
        </is>
      </c>
      <c r="M26" s="30" t="inlineStr"/>
    </row>
    <row r="27" ht="20" customHeight="1">
      <c r="A27" s="33">
        <f>'02_Employee_Master'!A25</f>
        <v/>
      </c>
      <c r="B27" s="11">
        <f>'02_Employee_Master'!B25</f>
        <v/>
      </c>
      <c r="C27" s="11">
        <f>'02_Employee_Master'!D25</f>
        <v/>
      </c>
      <c r="D27" s="11">
        <f>'02_Employee_Master'!C25</f>
        <v/>
      </c>
      <c r="E27" s="70" t="inlineStr"/>
      <c r="F27" s="70" t="inlineStr"/>
      <c r="G27" s="70" t="inlineStr"/>
      <c r="H27" s="70" t="inlineStr"/>
      <c r="I27" s="70" t="inlineStr"/>
      <c r="J27" s="70" t="inlineStr"/>
      <c r="K27" s="70" t="inlineStr"/>
      <c r="L27" s="33" t="inlineStr"/>
      <c r="M27" s="33" t="inlineStr"/>
    </row>
    <row r="28">
      <c r="A28" s="61" t="inlineStr">
        <is>
          <t>On duty (M+E+N)</t>
        </is>
      </c>
      <c r="B28" s="13" t="n"/>
      <c r="C28" s="13" t="n"/>
      <c r="D28" s="13" t="n"/>
      <c r="E28" s="7">
        <f>COUNTIF(E8:E27,"M")+COUNTIF(E8:E27,"E")+COUNTIF(E8:E27,"N")</f>
        <v/>
      </c>
      <c r="F28" s="7">
        <f>COUNTIF(F8:F27,"M")+COUNTIF(F8:F27,"E")+COUNTIF(F8:F27,"N")</f>
        <v/>
      </c>
      <c r="G28" s="7">
        <f>COUNTIF(G8:G27,"M")+COUNTIF(G8:G27,"E")+COUNTIF(G8:G27,"N")</f>
        <v/>
      </c>
      <c r="H28" s="7">
        <f>COUNTIF(H8:H27,"M")+COUNTIF(H8:H27,"E")+COUNTIF(H8:H27,"N")</f>
        <v/>
      </c>
      <c r="I28" s="7">
        <f>COUNTIF(I8:I27,"M")+COUNTIF(I8:I27,"E")+COUNTIF(I8:I27,"N")</f>
        <v/>
      </c>
      <c r="J28" s="7">
        <f>COUNTIF(J8:J27,"M")+COUNTIF(J8:J27,"E")+COUNTIF(J8:J27,"N")</f>
        <v/>
      </c>
      <c r="K28" s="7">
        <f>COUNTIF(K8:K27,"M")+COUNTIF(K8:K27,"E")+COUNTIF(K8:K27,"N")</f>
        <v/>
      </c>
    </row>
  </sheetData>
  <mergeCells count="5">
    <mergeCell ref="A1:M1"/>
    <mergeCell ref="A3:M3"/>
    <mergeCell ref="H4:L4"/>
    <mergeCell ref="A28:D28"/>
    <mergeCell ref="A2:M2"/>
  </mergeCells>
  <conditionalFormatting sqref="E8:K27">
    <cfRule type="cellIs" priority="1" operator="equal" dxfId="10">
      <formula>"M"</formula>
    </cfRule>
    <cfRule type="cellIs" priority="2" operator="equal" dxfId="11">
      <formula>"E"</formula>
    </cfRule>
    <cfRule type="cellIs" priority="3" operator="equal" dxfId="12">
      <formula>"N"</formula>
    </cfRule>
    <cfRule type="cellIs" priority="4" operator="equal" dxfId="13">
      <formula>"WO"</formula>
    </cfRule>
    <cfRule type="cellIs" priority="5" operator="equal" dxfId="14">
      <formula>"PH"</formula>
    </cfRule>
    <cfRule type="cellIs" priority="6" operator="equal" dxfId="15">
      <formula>"LV"</formula>
    </cfRule>
    <cfRule type="cellIs" priority="7" operator="equal" dxfId="16">
      <formula>"TR"</formula>
    </cfRule>
  </conditionalFormatting>
  <conditionalFormatting sqref="E7:E27">
    <cfRule type="expression" priority="8" dxfId="17">
      <formula>E$6&gt;DAY(DATE('03_Roster'!$D$5,'03_Roster'!$B$5+1,0))</formula>
    </cfRule>
  </conditionalFormatting>
  <conditionalFormatting sqref="F7:F27">
    <cfRule type="expression" priority="9" dxfId="17">
      <formula>F$6&gt;DAY(DATE('03_Roster'!$D$5,'03_Roster'!$B$5+1,0))</formula>
    </cfRule>
  </conditionalFormatting>
  <conditionalFormatting sqref="G7:G27">
    <cfRule type="expression" priority="10" dxfId="17">
      <formula>G$6&gt;DAY(DATE('03_Roster'!$D$5,'03_Roster'!$B$5+1,0))</formula>
    </cfRule>
  </conditionalFormatting>
  <conditionalFormatting sqref="H7:H27">
    <cfRule type="expression" priority="11" dxfId="17">
      <formula>H$6&gt;DAY(DATE('03_Roster'!$D$5,'03_Roster'!$B$5+1,0))</formula>
    </cfRule>
  </conditionalFormatting>
  <conditionalFormatting sqref="I7:I27">
    <cfRule type="expression" priority="12" dxfId="17">
      <formula>I$6&gt;DAY(DATE('03_Roster'!$D$5,'03_Roster'!$B$5+1,0))</formula>
    </cfRule>
  </conditionalFormatting>
  <conditionalFormatting sqref="J7:J27">
    <cfRule type="expression" priority="13" dxfId="17">
      <formula>J$6&gt;DAY(DATE('03_Roster'!$D$5,'03_Roster'!$B$5+1,0))</formula>
    </cfRule>
  </conditionalFormatting>
  <conditionalFormatting sqref="K7:K27">
    <cfRule type="expression" priority="14" dxfId="17">
      <formula>K$6&gt;DAY(DATE('03_Roster'!$D$5,'03_Roster'!$B$5+1,0))</formula>
    </cfRule>
  </conditionalFormatting>
  <dataValidations count="1">
    <dataValidation sqref="E8 E9 E10 E11 E12 E13 E14 E15 E16 E17 E18 E19 E20 E21 E22 E23 E24 E25 E26 E27 F8 F9 F10 F11 F12 F13 F14 F15 F16 F17 F18 F19 F20 F21 F22 F23 F24 F25 F26 F27 G8 G9 G10 G11 G12 G13 G14 G15 G16 G17 G18 G19 G20 G21 G22 G23 G24 G25 G26 G27 H8 H9 H10 H11 H12 H13 H14 H15 H16 H17 H18 H19 H20 H21 H22 H23 H24 H25 H26 H27 I8 I9 I10 I11 I12 I13 I14 I15 I16 I17 I18 I19 I20 I21 I22 I23 I24 I25 I26 I27 J8 J9 J10 J11 J12 J13 J14 J15 J16 J17 J18 J19 J20 J21 J22 J23 J24 J25 J26 J27 K8 K9 K10 K11 K12 K13 K14 K15 K16 K17 K18 K19 K20 K21 K22 K23 K24 K25 K26 K27" showDropDown="0" showInputMessage="0" showErrorMessage="0" allowBlank="1" promptTitle="Week 2 shift" prompt="M Morning · E Evening · N Night · WO Off · PH · LV · TR" type="list">
      <formula1>"M,E,N,WO,PH,LV,TR"</formula1>
    </dataValidation>
  </dataValidations>
  <hyperlinks>
    <hyperlink xmlns:r="http://schemas.openxmlformats.org/officeDocument/2006/relationships" ref="B4" r:id="rId1"/>
    <hyperlink xmlns:r="http://schemas.openxmlformats.org/officeDocument/2006/relationships" ref="C4" r:id="rId2"/>
    <hyperlink xmlns:r="http://schemas.openxmlformats.org/officeDocument/2006/relationships" ref="D4" r:id="rId3"/>
    <hyperlink xmlns:r="http://schemas.openxmlformats.org/officeDocument/2006/relationships" ref="E4" r:id="rId4"/>
    <hyperlink xmlns:r="http://schemas.openxmlformats.org/officeDocument/2006/relationships" ref="F4" r:id="rId5"/>
    <hyperlink xmlns:r="http://schemas.openxmlformats.org/officeDocument/2006/relationships" ref="G4" r:id="rId6"/>
  </hyperlinks>
  <pageMargins left="0.4" right="0.4" top="0.5" bottom="0.5" header="0.2" footer="0.2"/>
  <pageSetup orientation="landscape" paperSize="9" fitToHeight="0" fitToWidth="1"/>
</worksheet>
</file>

<file path=xl/worksheets/sheet7.xml><?xml version="1.0" encoding="utf-8"?>
<worksheet xmlns="http://schemas.openxmlformats.org/spreadsheetml/2006/main">
  <sheetPr>
    <tabColor rgb="005E35B1"/>
    <outlinePr summaryBelow="1" summaryRight="1"/>
    <pageSetUpPr fitToPage="1"/>
  </sheetPr>
  <dimension ref="A1:M28"/>
  <sheetViews>
    <sheetView showGridLines="0" zoomScale="90" workbookViewId="0">
      <pane xSplit="4" ySplit="7" topLeftCell="E8"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6" customWidth="1" min="3" max="3"/>
    <col width="22" customWidth="1" min="4" max="4"/>
    <col width="8" customWidth="1" min="5" max="5"/>
    <col width="8" customWidth="1" min="6" max="6"/>
    <col width="8" customWidth="1" min="7" max="7"/>
    <col width="8" customWidth="1" min="8" max="8"/>
    <col width="8" customWidth="1" min="9" max="9"/>
    <col width="8" customWidth="1" min="10" max="10"/>
    <col width="8" customWidth="1" min="11" max="11"/>
    <col width="18" customWidth="1" min="12" max="12"/>
    <col width="28" customWidth="1" min="13" max="13"/>
  </cols>
  <sheetData>
    <row r="1" ht="16" customHeight="1">
      <c r="A1" s="1" t="inlineStr">
        <is>
          <t>PATHCARE DIAGNOSTICS  ·  Pathology Laboratory</t>
        </is>
      </c>
      <c r="B1" s="2" t="n"/>
      <c r="C1" s="2" t="n"/>
      <c r="D1" s="2" t="n"/>
      <c r="E1" s="2" t="n"/>
      <c r="F1" s="2" t="n"/>
      <c r="G1" s="2" t="n"/>
      <c r="H1" s="2" t="n"/>
      <c r="I1" s="2" t="n"/>
      <c r="J1" s="2" t="n"/>
      <c r="K1" s="2" t="n"/>
      <c r="L1" s="2" t="n"/>
      <c r="M1" s="2" t="n"/>
    </row>
    <row r="2" ht="26" customHeight="1">
      <c r="A2" s="3" t="inlineStr">
        <is>
          <t>WEEK 3 ROSTER  ·  Days 15–21</t>
        </is>
      </c>
      <c r="B2" s="2" t="n"/>
      <c r="C2" s="2" t="n"/>
      <c r="D2" s="2" t="n"/>
      <c r="E2" s="2" t="n"/>
      <c r="F2" s="2" t="n"/>
      <c r="G2" s="2" t="n"/>
      <c r="H2" s="2" t="n"/>
      <c r="I2" s="2" t="n"/>
      <c r="J2" s="2" t="n"/>
      <c r="K2" s="2" t="n"/>
      <c r="L2" s="2" t="n"/>
      <c r="M2" s="2" t="n"/>
    </row>
    <row r="3" ht="18" customHeight="1">
      <c r="A3" s="4" t="inlineStr">
        <is>
          <t>Edit shifts here  ·  Syncs to Full Month automatically  ·  Period = Roster Month/Year</t>
        </is>
      </c>
      <c r="B3" s="2" t="n"/>
      <c r="C3" s="2" t="n"/>
      <c r="D3" s="2" t="n"/>
      <c r="E3" s="2" t="n"/>
      <c r="F3" s="2" t="n"/>
      <c r="G3" s="2" t="n"/>
      <c r="H3" s="2" t="n"/>
      <c r="I3" s="2" t="n"/>
      <c r="J3" s="2" t="n"/>
      <c r="K3" s="2" t="n"/>
      <c r="L3" s="2" t="n"/>
      <c r="M3" s="2" t="n"/>
    </row>
    <row r="4" ht="22" customHeight="1">
      <c r="A4" s="7" t="inlineStr">
        <is>
          <t>GO →</t>
        </is>
      </c>
      <c r="B4" s="50" t="inlineStr">
        <is>
          <t>Full Month</t>
        </is>
      </c>
      <c r="C4" s="51" t="inlineStr">
        <is>
          <t>▶ W1</t>
        </is>
      </c>
      <c r="D4" s="52" t="inlineStr">
        <is>
          <t>▶ W2</t>
        </is>
      </c>
      <c r="E4" s="53" t="inlineStr">
        <is>
          <t>● W3</t>
        </is>
      </c>
      <c r="F4" s="54" t="inlineStr">
        <is>
          <t>▶ W4</t>
        </is>
      </c>
      <c r="G4" s="55" t="inlineStr">
        <is>
          <t>▶ W5</t>
        </is>
      </c>
      <c r="H4" s="68" t="inlineStr">
        <is>
          <t>You are on Week 3  |  Drop-down: M E N WO PH LV TR</t>
        </is>
      </c>
    </row>
    <row r="5">
      <c r="A5" s="29" t="inlineStr">
        <is>
          <t>Month</t>
        </is>
      </c>
      <c r="B5" s="28">
        <f>'03_Roster'!B5</f>
        <v/>
      </c>
      <c r="C5" s="29" t="inlineStr">
        <is>
          <t>Year</t>
        </is>
      </c>
      <c r="D5" s="28">
        <f>'03_Roster'!D5</f>
        <v/>
      </c>
    </row>
    <row r="6">
      <c r="A6" s="29" t="inlineStr">
        <is>
          <t>Emp ID</t>
        </is>
      </c>
      <c r="B6" s="29" t="inlineStr">
        <is>
          <t>Employee Name</t>
        </is>
      </c>
      <c r="C6" s="29" t="inlineStr">
        <is>
          <t>Department</t>
        </is>
      </c>
      <c r="D6" s="29" t="inlineStr">
        <is>
          <t>Designation</t>
        </is>
      </c>
      <c r="E6" s="72" t="n">
        <v>15</v>
      </c>
      <c r="F6" s="72" t="n">
        <v>16</v>
      </c>
      <c r="G6" s="72" t="n">
        <v>17</v>
      </c>
      <c r="H6" s="72" t="n">
        <v>18</v>
      </c>
      <c r="I6" s="72" t="n">
        <v>19</v>
      </c>
      <c r="J6" s="72" t="n">
        <v>20</v>
      </c>
      <c r="K6" s="72" t="n">
        <v>21</v>
      </c>
      <c r="L6" s="57" t="inlineStr">
        <is>
          <t>Backup</t>
        </is>
      </c>
      <c r="M6" s="57" t="inlineStr">
        <is>
          <t>Week notes</t>
        </is>
      </c>
    </row>
    <row r="7">
      <c r="A7" s="13" t="n"/>
      <c r="B7" s="13" t="n"/>
      <c r="C7" s="13" t="n"/>
      <c r="D7" s="13" t="n"/>
      <c r="E7" s="58">
        <f>IF(E$6&gt;DAY(DATE('03_Roster'!$D$5,'03_Roster'!$B$5+1,0)),"",TEXT(DATE('03_Roster'!$D$5,'03_Roster'!$B$5,E$6),"DDD"))</f>
        <v/>
      </c>
      <c r="F7" s="58">
        <f>IF(F$6&gt;DAY(DATE('03_Roster'!$D$5,'03_Roster'!$B$5+1,0)),"",TEXT(DATE('03_Roster'!$D$5,'03_Roster'!$B$5,F$6),"DDD"))</f>
        <v/>
      </c>
      <c r="G7" s="58">
        <f>IF(G$6&gt;DAY(DATE('03_Roster'!$D$5,'03_Roster'!$B$5+1,0)),"",TEXT(DATE('03_Roster'!$D$5,'03_Roster'!$B$5,G$6),"DDD"))</f>
        <v/>
      </c>
      <c r="H7" s="58">
        <f>IF(H$6&gt;DAY(DATE('03_Roster'!$D$5,'03_Roster'!$B$5+1,0)),"",TEXT(DATE('03_Roster'!$D$5,'03_Roster'!$B$5,H$6),"DDD"))</f>
        <v/>
      </c>
      <c r="I7" s="58">
        <f>IF(I$6&gt;DAY(DATE('03_Roster'!$D$5,'03_Roster'!$B$5+1,0)),"",TEXT(DATE('03_Roster'!$D$5,'03_Roster'!$B$5,I$6),"DDD"))</f>
        <v/>
      </c>
      <c r="J7" s="58">
        <f>IF(J$6&gt;DAY(DATE('03_Roster'!$D$5,'03_Roster'!$B$5+1,0)),"",TEXT(DATE('03_Roster'!$D$5,'03_Roster'!$B$5,J$6),"DDD"))</f>
        <v/>
      </c>
      <c r="K7" s="58">
        <f>IF(K$6&gt;DAY(DATE('03_Roster'!$D$5,'03_Roster'!$B$5+1,0)),"",TEXT(DATE('03_Roster'!$D$5,'03_Roster'!$B$5,K$6),"DDD"))</f>
        <v/>
      </c>
      <c r="L7" s="13" t="n"/>
      <c r="M7" s="13" t="n"/>
    </row>
    <row r="8" ht="20" customHeight="1">
      <c r="A8" s="30">
        <f>'02_Employee_Master'!A6</f>
        <v/>
      </c>
      <c r="B8" s="9">
        <f>'02_Employee_Master'!B6</f>
        <v/>
      </c>
      <c r="C8" s="9">
        <f>'02_Employee_Master'!D6</f>
        <v/>
      </c>
      <c r="D8" s="9">
        <f>'02_Employee_Master'!C6</f>
        <v/>
      </c>
      <c r="E8" s="69" t="inlineStr">
        <is>
          <t>M</t>
        </is>
      </c>
      <c r="F8" s="69" t="inlineStr">
        <is>
          <t>M</t>
        </is>
      </c>
      <c r="G8" s="69" t="inlineStr">
        <is>
          <t>M</t>
        </is>
      </c>
      <c r="H8" s="69" t="inlineStr">
        <is>
          <t>M</t>
        </is>
      </c>
      <c r="I8" s="69" t="inlineStr">
        <is>
          <t>M</t>
        </is>
      </c>
      <c r="J8" s="69" t="inlineStr">
        <is>
          <t>M</t>
        </is>
      </c>
      <c r="K8" s="69" t="inlineStr">
        <is>
          <t>WO</t>
        </is>
      </c>
      <c r="L8" s="30" t="inlineStr">
        <is>
          <t>Vikram Singh</t>
        </is>
      </c>
      <c r="M8" s="30" t="inlineStr"/>
    </row>
    <row r="9" ht="20" customHeight="1">
      <c r="A9" s="33">
        <f>'02_Employee_Master'!A7</f>
        <v/>
      </c>
      <c r="B9" s="11">
        <f>'02_Employee_Master'!B7</f>
        <v/>
      </c>
      <c r="C9" s="11">
        <f>'02_Employee_Master'!D7</f>
        <v/>
      </c>
      <c r="D9" s="11">
        <f>'02_Employee_Master'!C7</f>
        <v/>
      </c>
      <c r="E9" s="70" t="inlineStr">
        <is>
          <t>M</t>
        </is>
      </c>
      <c r="F9" s="70" t="inlineStr">
        <is>
          <t>WO</t>
        </is>
      </c>
      <c r="G9" s="70" t="inlineStr">
        <is>
          <t>M</t>
        </is>
      </c>
      <c r="H9" s="70" t="inlineStr">
        <is>
          <t>M</t>
        </is>
      </c>
      <c r="I9" s="70" t="inlineStr">
        <is>
          <t>E</t>
        </is>
      </c>
      <c r="J9" s="70" t="inlineStr">
        <is>
          <t>M</t>
        </is>
      </c>
      <c r="K9" s="70" t="inlineStr">
        <is>
          <t>M</t>
        </is>
      </c>
      <c r="L9" s="33" t="inlineStr"/>
      <c r="M9" s="33" t="inlineStr"/>
    </row>
    <row r="10" ht="20" customHeight="1">
      <c r="A10" s="30">
        <f>'02_Employee_Master'!A8</f>
        <v/>
      </c>
      <c r="B10" s="9">
        <f>'02_Employee_Master'!B8</f>
        <v/>
      </c>
      <c r="C10" s="9">
        <f>'02_Employee_Master'!D8</f>
        <v/>
      </c>
      <c r="D10" s="9">
        <f>'02_Employee_Master'!C8</f>
        <v/>
      </c>
      <c r="E10" s="69" t="inlineStr">
        <is>
          <t>N</t>
        </is>
      </c>
      <c r="F10" s="69" t="inlineStr">
        <is>
          <t>M</t>
        </is>
      </c>
      <c r="G10" s="69" t="inlineStr">
        <is>
          <t>M</t>
        </is>
      </c>
      <c r="H10" s="69" t="inlineStr">
        <is>
          <t>WO</t>
        </is>
      </c>
      <c r="I10" s="69" t="inlineStr">
        <is>
          <t>M</t>
        </is>
      </c>
      <c r="J10" s="69" t="inlineStr">
        <is>
          <t>M</t>
        </is>
      </c>
      <c r="K10" s="69" t="inlineStr">
        <is>
          <t>M</t>
        </is>
      </c>
      <c r="L10" s="30" t="inlineStr"/>
      <c r="M10" s="30" t="inlineStr"/>
    </row>
    <row r="11" ht="20" customHeight="1">
      <c r="A11" s="33">
        <f>'02_Employee_Master'!A9</f>
        <v/>
      </c>
      <c r="B11" s="11">
        <f>'02_Employee_Master'!B9</f>
        <v/>
      </c>
      <c r="C11" s="11">
        <f>'02_Employee_Master'!D9</f>
        <v/>
      </c>
      <c r="D11" s="11">
        <f>'02_Employee_Master'!C9</f>
        <v/>
      </c>
      <c r="E11" s="70" t="inlineStr">
        <is>
          <t>M</t>
        </is>
      </c>
      <c r="F11" s="70" t="inlineStr">
        <is>
          <t>M</t>
        </is>
      </c>
      <c r="G11" s="70" t="inlineStr">
        <is>
          <t>E</t>
        </is>
      </c>
      <c r="H11" s="70" t="inlineStr">
        <is>
          <t>M</t>
        </is>
      </c>
      <c r="I11" s="70" t="inlineStr">
        <is>
          <t>M</t>
        </is>
      </c>
      <c r="J11" s="70" t="inlineStr">
        <is>
          <t>WO</t>
        </is>
      </c>
      <c r="K11" s="70" t="inlineStr">
        <is>
          <t>N</t>
        </is>
      </c>
      <c r="L11" s="33" t="inlineStr"/>
      <c r="M11" s="33" t="inlineStr"/>
    </row>
    <row r="12" ht="20" customHeight="1">
      <c r="A12" s="30">
        <f>'02_Employee_Master'!A10</f>
        <v/>
      </c>
      <c r="B12" s="9">
        <f>'02_Employee_Master'!B10</f>
        <v/>
      </c>
      <c r="C12" s="9">
        <f>'02_Employee_Master'!D10</f>
        <v/>
      </c>
      <c r="D12" s="9">
        <f>'02_Employee_Master'!C10</f>
        <v/>
      </c>
      <c r="E12" s="69" t="inlineStr">
        <is>
          <t>WO</t>
        </is>
      </c>
      <c r="F12" s="69" t="inlineStr">
        <is>
          <t>M</t>
        </is>
      </c>
      <c r="G12" s="69" t="inlineStr">
        <is>
          <t>E</t>
        </is>
      </c>
      <c r="H12" s="69" t="inlineStr">
        <is>
          <t>M</t>
        </is>
      </c>
      <c r="I12" s="69" t="inlineStr">
        <is>
          <t>M</t>
        </is>
      </c>
      <c r="J12" s="69" t="inlineStr">
        <is>
          <t>E</t>
        </is>
      </c>
      <c r="K12" s="69" t="inlineStr">
        <is>
          <t>M</t>
        </is>
      </c>
      <c r="L12" s="30" t="inlineStr"/>
      <c r="M12" s="30" t="inlineStr"/>
    </row>
    <row r="13" ht="20" customHeight="1">
      <c r="A13" s="33">
        <f>'02_Employee_Master'!A11</f>
        <v/>
      </c>
      <c r="B13" s="11">
        <f>'02_Employee_Master'!B11</f>
        <v/>
      </c>
      <c r="C13" s="11">
        <f>'02_Employee_Master'!D11</f>
        <v/>
      </c>
      <c r="D13" s="11">
        <f>'02_Employee_Master'!C11</f>
        <v/>
      </c>
      <c r="E13" s="70" t="inlineStr">
        <is>
          <t>E</t>
        </is>
      </c>
      <c r="F13" s="70" t="inlineStr">
        <is>
          <t>M</t>
        </is>
      </c>
      <c r="G13" s="70" t="inlineStr">
        <is>
          <t>WO</t>
        </is>
      </c>
      <c r="H13" s="70" t="inlineStr">
        <is>
          <t>M</t>
        </is>
      </c>
      <c r="I13" s="70" t="inlineStr">
        <is>
          <t>N</t>
        </is>
      </c>
      <c r="J13" s="70" t="inlineStr">
        <is>
          <t>E</t>
        </is>
      </c>
      <c r="K13" s="70" t="inlineStr">
        <is>
          <t>M</t>
        </is>
      </c>
      <c r="L13" s="33" t="inlineStr"/>
      <c r="M13" s="33" t="inlineStr"/>
    </row>
    <row r="14" ht="20" customHeight="1">
      <c r="A14" s="30">
        <f>'02_Employee_Master'!A12</f>
        <v/>
      </c>
      <c r="B14" s="9">
        <f>'02_Employee_Master'!B12</f>
        <v/>
      </c>
      <c r="C14" s="9">
        <f>'02_Employee_Master'!D12</f>
        <v/>
      </c>
      <c r="D14" s="9">
        <f>'02_Employee_Master'!C12</f>
        <v/>
      </c>
      <c r="E14" s="69" t="inlineStr">
        <is>
          <t>E</t>
        </is>
      </c>
      <c r="F14" s="69" t="inlineStr">
        <is>
          <t>M</t>
        </is>
      </c>
      <c r="G14" s="69" t="inlineStr">
        <is>
          <t>M</t>
        </is>
      </c>
      <c r="H14" s="69" t="inlineStr">
        <is>
          <t>E</t>
        </is>
      </c>
      <c r="I14" s="69" t="inlineStr">
        <is>
          <t>WO</t>
        </is>
      </c>
      <c r="J14" s="69" t="inlineStr">
        <is>
          <t>M</t>
        </is>
      </c>
      <c r="K14" s="69" t="inlineStr">
        <is>
          <t>E</t>
        </is>
      </c>
      <c r="L14" s="30" t="inlineStr">
        <is>
          <t>Karan Malhotra</t>
        </is>
      </c>
      <c r="M14" s="30" t="inlineStr"/>
    </row>
    <row r="15" ht="20" customHeight="1">
      <c r="A15" s="33">
        <f>'02_Employee_Master'!A13</f>
        <v/>
      </c>
      <c r="B15" s="11">
        <f>'02_Employee_Master'!B13</f>
        <v/>
      </c>
      <c r="C15" s="11">
        <f>'02_Employee_Master'!D13</f>
        <v/>
      </c>
      <c r="D15" s="11">
        <f>'02_Employee_Master'!C13</f>
        <v/>
      </c>
      <c r="E15" s="70" t="inlineStr">
        <is>
          <t>M</t>
        </is>
      </c>
      <c r="F15" s="70" t="inlineStr">
        <is>
          <t>M</t>
        </is>
      </c>
      <c r="G15" s="70" t="inlineStr">
        <is>
          <t>N</t>
        </is>
      </c>
      <c r="H15" s="70" t="inlineStr">
        <is>
          <t>E</t>
        </is>
      </c>
      <c r="I15" s="70" t="inlineStr">
        <is>
          <t>M</t>
        </is>
      </c>
      <c r="J15" s="70" t="inlineStr">
        <is>
          <t>M</t>
        </is>
      </c>
      <c r="K15" s="70" t="inlineStr">
        <is>
          <t>WO</t>
        </is>
      </c>
      <c r="L15" s="33" t="inlineStr"/>
      <c r="M15" s="33" t="inlineStr"/>
    </row>
    <row r="16" ht="20" customHeight="1">
      <c r="A16" s="30">
        <f>'02_Employee_Master'!A14</f>
        <v/>
      </c>
      <c r="B16" s="9">
        <f>'02_Employee_Master'!B14</f>
        <v/>
      </c>
      <c r="C16" s="9">
        <f>'02_Employee_Master'!D14</f>
        <v/>
      </c>
      <c r="D16" s="9">
        <f>'02_Employee_Master'!C14</f>
        <v/>
      </c>
      <c r="E16" s="69" t="inlineStr">
        <is>
          <t>M</t>
        </is>
      </c>
      <c r="F16" s="69" t="inlineStr">
        <is>
          <t>WO</t>
        </is>
      </c>
      <c r="G16" s="69" t="inlineStr">
        <is>
          <t>M</t>
        </is>
      </c>
      <c r="H16" s="69" t="inlineStr">
        <is>
          <t>M</t>
        </is>
      </c>
      <c r="I16" s="69" t="inlineStr">
        <is>
          <t>M</t>
        </is>
      </c>
      <c r="J16" s="69" t="inlineStr">
        <is>
          <t>M</t>
        </is>
      </c>
      <c r="K16" s="69" t="inlineStr">
        <is>
          <t>M</t>
        </is>
      </c>
      <c r="L16" s="30" t="inlineStr"/>
      <c r="M16" s="30" t="inlineStr"/>
    </row>
    <row r="17" ht="20" customHeight="1">
      <c r="A17" s="33">
        <f>'02_Employee_Master'!A15</f>
        <v/>
      </c>
      <c r="B17" s="11">
        <f>'02_Employee_Master'!B15</f>
        <v/>
      </c>
      <c r="C17" s="11">
        <f>'02_Employee_Master'!D15</f>
        <v/>
      </c>
      <c r="D17" s="11">
        <f>'02_Employee_Master'!C15</f>
        <v/>
      </c>
      <c r="E17" s="70" t="inlineStr">
        <is>
          <t>E</t>
        </is>
      </c>
      <c r="F17" s="70" t="inlineStr">
        <is>
          <t>M</t>
        </is>
      </c>
      <c r="G17" s="70" t="inlineStr">
        <is>
          <t>M</t>
        </is>
      </c>
      <c r="H17" s="70" t="inlineStr">
        <is>
          <t>WO</t>
        </is>
      </c>
      <c r="I17" s="70" t="inlineStr">
        <is>
          <t>M</t>
        </is>
      </c>
      <c r="J17" s="70" t="inlineStr">
        <is>
          <t>M</t>
        </is>
      </c>
      <c r="K17" s="70" t="inlineStr">
        <is>
          <t>E</t>
        </is>
      </c>
      <c r="L17" s="33" t="inlineStr"/>
      <c r="M17" s="33" t="inlineStr"/>
    </row>
    <row r="18" ht="20" customHeight="1">
      <c r="A18" s="30">
        <f>'02_Employee_Master'!A16</f>
        <v/>
      </c>
      <c r="B18" s="9">
        <f>'02_Employee_Master'!B16</f>
        <v/>
      </c>
      <c r="C18" s="9">
        <f>'02_Employee_Master'!D16</f>
        <v/>
      </c>
      <c r="D18" s="9">
        <f>'02_Employee_Master'!C16</f>
        <v/>
      </c>
      <c r="E18" s="69" t="inlineStr">
        <is>
          <t>M</t>
        </is>
      </c>
      <c r="F18" s="69" t="inlineStr">
        <is>
          <t>M</t>
        </is>
      </c>
      <c r="G18" s="69" t="inlineStr">
        <is>
          <t>M</t>
        </is>
      </c>
      <c r="H18" s="69" t="inlineStr">
        <is>
          <t>M</t>
        </is>
      </c>
      <c r="I18" s="69" t="inlineStr">
        <is>
          <t>M</t>
        </is>
      </c>
      <c r="J18" s="69" t="inlineStr">
        <is>
          <t>WO</t>
        </is>
      </c>
      <c r="K18" s="69" t="inlineStr">
        <is>
          <t>M</t>
        </is>
      </c>
      <c r="L18" s="30" t="inlineStr"/>
      <c r="M18" s="30" t="inlineStr"/>
    </row>
    <row r="19" ht="20" customHeight="1">
      <c r="A19" s="33">
        <f>'02_Employee_Master'!A17</f>
        <v/>
      </c>
      <c r="B19" s="11">
        <f>'02_Employee_Master'!B17</f>
        <v/>
      </c>
      <c r="C19" s="11">
        <f>'02_Employee_Master'!D17</f>
        <v/>
      </c>
      <c r="D19" s="11">
        <f>'02_Employee_Master'!C17</f>
        <v/>
      </c>
      <c r="E19" s="70" t="inlineStr">
        <is>
          <t>WO</t>
        </is>
      </c>
      <c r="F19" s="70" t="inlineStr">
        <is>
          <t>M</t>
        </is>
      </c>
      <c r="G19" s="70" t="inlineStr">
        <is>
          <t>M</t>
        </is>
      </c>
      <c r="H19" s="70" t="inlineStr">
        <is>
          <t>M</t>
        </is>
      </c>
      <c r="I19" s="70" t="inlineStr">
        <is>
          <t>E</t>
        </is>
      </c>
      <c r="J19" s="70" t="inlineStr">
        <is>
          <t>N</t>
        </is>
      </c>
      <c r="K19" s="70" t="inlineStr">
        <is>
          <t>M</t>
        </is>
      </c>
      <c r="L19" s="33" t="inlineStr"/>
      <c r="M19" s="33" t="inlineStr"/>
    </row>
    <row r="20" ht="20" customHeight="1">
      <c r="A20" s="30">
        <f>'02_Employee_Master'!A18</f>
        <v/>
      </c>
      <c r="B20" s="9">
        <f>'02_Employee_Master'!B18</f>
        <v/>
      </c>
      <c r="C20" s="9">
        <f>'02_Employee_Master'!D18</f>
        <v/>
      </c>
      <c r="D20" s="9">
        <f>'02_Employee_Master'!C18</f>
        <v/>
      </c>
      <c r="E20" s="69" t="inlineStr">
        <is>
          <t>M</t>
        </is>
      </c>
      <c r="F20" s="69" t="inlineStr">
        <is>
          <t>M</t>
        </is>
      </c>
      <c r="G20" s="69" t="inlineStr">
        <is>
          <t>WO</t>
        </is>
      </c>
      <c r="H20" s="69" t="inlineStr">
        <is>
          <t>M</t>
        </is>
      </c>
      <c r="I20" s="69" t="inlineStr">
        <is>
          <t>M</t>
        </is>
      </c>
      <c r="J20" s="69" t="inlineStr">
        <is>
          <t>M</t>
        </is>
      </c>
      <c r="K20" s="69" t="inlineStr">
        <is>
          <t>M</t>
        </is>
      </c>
      <c r="L20" s="30" t="inlineStr">
        <is>
          <t>Deepak Joshi</t>
        </is>
      </c>
      <c r="M20" s="30" t="inlineStr"/>
    </row>
    <row r="21" ht="20" customHeight="1">
      <c r="A21" s="33">
        <f>'02_Employee_Master'!A19</f>
        <v/>
      </c>
      <c r="B21" s="11">
        <f>'02_Employee_Master'!B19</f>
        <v/>
      </c>
      <c r="C21" s="11">
        <f>'02_Employee_Master'!D19</f>
        <v/>
      </c>
      <c r="D21" s="11">
        <f>'02_Employee_Master'!C19</f>
        <v/>
      </c>
      <c r="E21" s="70" t="inlineStr">
        <is>
          <t>M</t>
        </is>
      </c>
      <c r="F21" s="70" t="inlineStr">
        <is>
          <t>M</t>
        </is>
      </c>
      <c r="G21" s="70" t="inlineStr">
        <is>
          <t>E</t>
        </is>
      </c>
      <c r="H21" s="70" t="inlineStr">
        <is>
          <t>M</t>
        </is>
      </c>
      <c r="I21" s="70" t="inlineStr">
        <is>
          <t>WO</t>
        </is>
      </c>
      <c r="J21" s="70" t="inlineStr">
        <is>
          <t>E</t>
        </is>
      </c>
      <c r="K21" s="70" t="inlineStr">
        <is>
          <t>M</t>
        </is>
      </c>
      <c r="L21" s="33" t="inlineStr"/>
      <c r="M21" s="33" t="inlineStr"/>
    </row>
    <row r="22" ht="20" customHeight="1">
      <c r="A22" s="30">
        <f>'02_Employee_Master'!A20</f>
        <v/>
      </c>
      <c r="B22" s="9">
        <f>'02_Employee_Master'!B20</f>
        <v/>
      </c>
      <c r="C22" s="9">
        <f>'02_Employee_Master'!D20</f>
        <v/>
      </c>
      <c r="D22" s="9">
        <f>'02_Employee_Master'!C20</f>
        <v/>
      </c>
      <c r="E22" s="69" t="inlineStr">
        <is>
          <t>M</t>
        </is>
      </c>
      <c r="F22" s="69" t="inlineStr">
        <is>
          <t>M</t>
        </is>
      </c>
      <c r="G22" s="69" t="inlineStr">
        <is>
          <t>M</t>
        </is>
      </c>
      <c r="H22" s="69" t="inlineStr">
        <is>
          <t>M</t>
        </is>
      </c>
      <c r="I22" s="69" t="inlineStr">
        <is>
          <t>M</t>
        </is>
      </c>
      <c r="J22" s="69" t="inlineStr">
        <is>
          <t>M</t>
        </is>
      </c>
      <c r="K22" s="69" t="inlineStr">
        <is>
          <t>WO</t>
        </is>
      </c>
      <c r="L22" s="30" t="inlineStr"/>
      <c r="M22" s="30" t="inlineStr"/>
    </row>
    <row r="23" ht="20" customHeight="1">
      <c r="A23" s="33">
        <f>'02_Employee_Master'!A21</f>
        <v/>
      </c>
      <c r="B23" s="11">
        <f>'02_Employee_Master'!B21</f>
        <v/>
      </c>
      <c r="C23" s="11">
        <f>'02_Employee_Master'!D21</f>
        <v/>
      </c>
      <c r="D23" s="11">
        <f>'02_Employee_Master'!C21</f>
        <v/>
      </c>
      <c r="E23" s="70" t="inlineStr">
        <is>
          <t>E</t>
        </is>
      </c>
      <c r="F23" s="70" t="inlineStr">
        <is>
          <t>WO</t>
        </is>
      </c>
      <c r="G23" s="70" t="inlineStr">
        <is>
          <t>M</t>
        </is>
      </c>
      <c r="H23" s="70" t="inlineStr">
        <is>
          <t>M</t>
        </is>
      </c>
      <c r="I23" s="70" t="inlineStr">
        <is>
          <t>M</t>
        </is>
      </c>
      <c r="J23" s="70" t="inlineStr">
        <is>
          <t>E</t>
        </is>
      </c>
      <c r="K23" s="70" t="inlineStr">
        <is>
          <t>M</t>
        </is>
      </c>
      <c r="L23" s="33" t="inlineStr"/>
      <c r="M23" s="33" t="inlineStr"/>
    </row>
    <row r="24" ht="20" customHeight="1">
      <c r="A24" s="30">
        <f>'02_Employee_Master'!A22</f>
        <v/>
      </c>
      <c r="B24" s="9">
        <f>'02_Employee_Master'!B22</f>
        <v/>
      </c>
      <c r="C24" s="9">
        <f>'02_Employee_Master'!D22</f>
        <v/>
      </c>
      <c r="D24" s="9">
        <f>'02_Employee_Master'!C22</f>
        <v/>
      </c>
      <c r="E24" s="69" t="inlineStr">
        <is>
          <t>M</t>
        </is>
      </c>
      <c r="F24" s="69" t="inlineStr">
        <is>
          <t>M</t>
        </is>
      </c>
      <c r="G24" s="69" t="inlineStr">
        <is>
          <t>E</t>
        </is>
      </c>
      <c r="H24" s="69" t="inlineStr">
        <is>
          <t>WO</t>
        </is>
      </c>
      <c r="I24" s="69" t="inlineStr">
        <is>
          <t>M</t>
        </is>
      </c>
      <c r="J24" s="69" t="inlineStr">
        <is>
          <t>E</t>
        </is>
      </c>
      <c r="K24" s="69" t="inlineStr">
        <is>
          <t>M</t>
        </is>
      </c>
      <c r="L24" s="30" t="inlineStr"/>
      <c r="M24" s="30" t="inlineStr"/>
    </row>
    <row r="25" ht="20" customHeight="1">
      <c r="A25" s="33">
        <f>'02_Employee_Master'!A23</f>
        <v/>
      </c>
      <c r="B25" s="11">
        <f>'02_Employee_Master'!B23</f>
        <v/>
      </c>
      <c r="C25" s="11">
        <f>'02_Employee_Master'!D23</f>
        <v/>
      </c>
      <c r="D25" s="11">
        <f>'02_Employee_Master'!C23</f>
        <v/>
      </c>
      <c r="E25" s="70" t="inlineStr">
        <is>
          <t>M</t>
        </is>
      </c>
      <c r="F25" s="70" t="inlineStr">
        <is>
          <t>M</t>
        </is>
      </c>
      <c r="G25" s="70" t="inlineStr">
        <is>
          <t>M</t>
        </is>
      </c>
      <c r="H25" s="70" t="inlineStr">
        <is>
          <t>M</t>
        </is>
      </c>
      <c r="I25" s="70" t="inlineStr">
        <is>
          <t>M</t>
        </is>
      </c>
      <c r="J25" s="70" t="inlineStr">
        <is>
          <t>WO</t>
        </is>
      </c>
      <c r="K25" s="70" t="inlineStr">
        <is>
          <t>M</t>
        </is>
      </c>
      <c r="L25" s="33" t="inlineStr"/>
      <c r="M25" s="33" t="inlineStr"/>
    </row>
    <row r="26" ht="20" customHeight="1">
      <c r="A26" s="30">
        <f>'02_Employee_Master'!A24</f>
        <v/>
      </c>
      <c r="B26" s="9">
        <f>'02_Employee_Master'!B24</f>
        <v/>
      </c>
      <c r="C26" s="9">
        <f>'02_Employee_Master'!D24</f>
        <v/>
      </c>
      <c r="D26" s="9">
        <f>'02_Employee_Master'!C24</f>
        <v/>
      </c>
      <c r="E26" s="69" t="inlineStr">
        <is>
          <t>WO</t>
        </is>
      </c>
      <c r="F26" s="69" t="inlineStr">
        <is>
          <t>M</t>
        </is>
      </c>
      <c r="G26" s="69" t="inlineStr">
        <is>
          <t>M</t>
        </is>
      </c>
      <c r="H26" s="69" t="inlineStr">
        <is>
          <t>M</t>
        </is>
      </c>
      <c r="I26" s="69" t="inlineStr">
        <is>
          <t>M</t>
        </is>
      </c>
      <c r="J26" s="69" t="inlineStr">
        <is>
          <t>M</t>
        </is>
      </c>
      <c r="K26" s="69" t="inlineStr">
        <is>
          <t>M</t>
        </is>
      </c>
      <c r="L26" s="30" t="inlineStr">
        <is>
          <t>Thomas Mathew</t>
        </is>
      </c>
      <c r="M26" s="30" t="inlineStr"/>
    </row>
    <row r="27" ht="20" customHeight="1">
      <c r="A27" s="33">
        <f>'02_Employee_Master'!A25</f>
        <v/>
      </c>
      <c r="B27" s="11">
        <f>'02_Employee_Master'!B25</f>
        <v/>
      </c>
      <c r="C27" s="11">
        <f>'02_Employee_Master'!D25</f>
        <v/>
      </c>
      <c r="D27" s="11">
        <f>'02_Employee_Master'!C25</f>
        <v/>
      </c>
      <c r="E27" s="70" t="inlineStr"/>
      <c r="F27" s="70" t="inlineStr"/>
      <c r="G27" s="70" t="inlineStr"/>
      <c r="H27" s="70" t="inlineStr"/>
      <c r="I27" s="70" t="inlineStr"/>
      <c r="J27" s="70" t="inlineStr"/>
      <c r="K27" s="70" t="inlineStr"/>
      <c r="L27" s="33" t="inlineStr"/>
      <c r="M27" s="33" t="inlineStr"/>
    </row>
    <row r="28">
      <c r="A28" s="61" t="inlineStr">
        <is>
          <t>On duty (M+E+N)</t>
        </is>
      </c>
      <c r="B28" s="13" t="n"/>
      <c r="C28" s="13" t="n"/>
      <c r="D28" s="13" t="n"/>
      <c r="E28" s="7">
        <f>COUNTIF(E8:E27,"M")+COUNTIF(E8:E27,"E")+COUNTIF(E8:E27,"N")</f>
        <v/>
      </c>
      <c r="F28" s="7">
        <f>COUNTIF(F8:F27,"M")+COUNTIF(F8:F27,"E")+COUNTIF(F8:F27,"N")</f>
        <v/>
      </c>
      <c r="G28" s="7">
        <f>COUNTIF(G8:G27,"M")+COUNTIF(G8:G27,"E")+COUNTIF(G8:G27,"N")</f>
        <v/>
      </c>
      <c r="H28" s="7">
        <f>COUNTIF(H8:H27,"M")+COUNTIF(H8:H27,"E")+COUNTIF(H8:H27,"N")</f>
        <v/>
      </c>
      <c r="I28" s="7">
        <f>COUNTIF(I8:I27,"M")+COUNTIF(I8:I27,"E")+COUNTIF(I8:I27,"N")</f>
        <v/>
      </c>
      <c r="J28" s="7">
        <f>COUNTIF(J8:J27,"M")+COUNTIF(J8:J27,"E")+COUNTIF(J8:J27,"N")</f>
        <v/>
      </c>
      <c r="K28" s="7">
        <f>COUNTIF(K8:K27,"M")+COUNTIF(K8:K27,"E")+COUNTIF(K8:K27,"N")</f>
        <v/>
      </c>
    </row>
  </sheetData>
  <mergeCells count="5">
    <mergeCell ref="A1:M1"/>
    <mergeCell ref="A3:M3"/>
    <mergeCell ref="H4:L4"/>
    <mergeCell ref="A28:D28"/>
    <mergeCell ref="A2:M2"/>
  </mergeCells>
  <conditionalFormatting sqref="E8:K27">
    <cfRule type="cellIs" priority="1" operator="equal" dxfId="10">
      <formula>"M"</formula>
    </cfRule>
    <cfRule type="cellIs" priority="2" operator="equal" dxfId="11">
      <formula>"E"</formula>
    </cfRule>
    <cfRule type="cellIs" priority="3" operator="equal" dxfId="12">
      <formula>"N"</formula>
    </cfRule>
    <cfRule type="cellIs" priority="4" operator="equal" dxfId="13">
      <formula>"WO"</formula>
    </cfRule>
    <cfRule type="cellIs" priority="5" operator="equal" dxfId="14">
      <formula>"PH"</formula>
    </cfRule>
    <cfRule type="cellIs" priority="6" operator="equal" dxfId="15">
      <formula>"LV"</formula>
    </cfRule>
    <cfRule type="cellIs" priority="7" operator="equal" dxfId="16">
      <formula>"TR"</formula>
    </cfRule>
  </conditionalFormatting>
  <conditionalFormatting sqref="E7:E27">
    <cfRule type="expression" priority="8" dxfId="17">
      <formula>E$6&gt;DAY(DATE('03_Roster'!$D$5,'03_Roster'!$B$5+1,0))</formula>
    </cfRule>
  </conditionalFormatting>
  <conditionalFormatting sqref="F7:F27">
    <cfRule type="expression" priority="9" dxfId="17">
      <formula>F$6&gt;DAY(DATE('03_Roster'!$D$5,'03_Roster'!$B$5+1,0))</formula>
    </cfRule>
  </conditionalFormatting>
  <conditionalFormatting sqref="G7:G27">
    <cfRule type="expression" priority="10" dxfId="17">
      <formula>G$6&gt;DAY(DATE('03_Roster'!$D$5,'03_Roster'!$B$5+1,0))</formula>
    </cfRule>
  </conditionalFormatting>
  <conditionalFormatting sqref="H7:H27">
    <cfRule type="expression" priority="11" dxfId="17">
      <formula>H$6&gt;DAY(DATE('03_Roster'!$D$5,'03_Roster'!$B$5+1,0))</formula>
    </cfRule>
  </conditionalFormatting>
  <conditionalFormatting sqref="I7:I27">
    <cfRule type="expression" priority="12" dxfId="17">
      <formula>I$6&gt;DAY(DATE('03_Roster'!$D$5,'03_Roster'!$B$5+1,0))</formula>
    </cfRule>
  </conditionalFormatting>
  <conditionalFormatting sqref="J7:J27">
    <cfRule type="expression" priority="13" dxfId="17">
      <formula>J$6&gt;DAY(DATE('03_Roster'!$D$5,'03_Roster'!$B$5+1,0))</formula>
    </cfRule>
  </conditionalFormatting>
  <conditionalFormatting sqref="K7:K27">
    <cfRule type="expression" priority="14" dxfId="17">
      <formula>K$6&gt;DAY(DATE('03_Roster'!$D$5,'03_Roster'!$B$5+1,0))</formula>
    </cfRule>
  </conditionalFormatting>
  <dataValidations count="1">
    <dataValidation sqref="E8 E9 E10 E11 E12 E13 E14 E15 E16 E17 E18 E19 E20 E21 E22 E23 E24 E25 E26 E27 F8 F9 F10 F11 F12 F13 F14 F15 F16 F17 F18 F19 F20 F21 F22 F23 F24 F25 F26 F27 G8 G9 G10 G11 G12 G13 G14 G15 G16 G17 G18 G19 G20 G21 G22 G23 G24 G25 G26 G27 H8 H9 H10 H11 H12 H13 H14 H15 H16 H17 H18 H19 H20 H21 H22 H23 H24 H25 H26 H27 I8 I9 I10 I11 I12 I13 I14 I15 I16 I17 I18 I19 I20 I21 I22 I23 I24 I25 I26 I27 J8 J9 J10 J11 J12 J13 J14 J15 J16 J17 J18 J19 J20 J21 J22 J23 J24 J25 J26 J27 K8 K9 K10 K11 K12 K13 K14 K15 K16 K17 K18 K19 K20 K21 K22 K23 K24 K25 K26 K27" showDropDown="0" showInputMessage="0" showErrorMessage="0" allowBlank="1" promptTitle="Week 3 shift" prompt="M Morning · E Evening · N Night · WO Off · PH · LV · TR" type="list">
      <formula1>"M,E,N,WO,PH,LV,TR"</formula1>
    </dataValidation>
  </dataValidations>
  <hyperlinks>
    <hyperlink xmlns:r="http://schemas.openxmlformats.org/officeDocument/2006/relationships" ref="B4" r:id="rId1"/>
    <hyperlink xmlns:r="http://schemas.openxmlformats.org/officeDocument/2006/relationships" ref="C4" r:id="rId2"/>
    <hyperlink xmlns:r="http://schemas.openxmlformats.org/officeDocument/2006/relationships" ref="D4" r:id="rId3"/>
    <hyperlink xmlns:r="http://schemas.openxmlformats.org/officeDocument/2006/relationships" ref="E4" r:id="rId4"/>
    <hyperlink xmlns:r="http://schemas.openxmlformats.org/officeDocument/2006/relationships" ref="F4" r:id="rId5"/>
    <hyperlink xmlns:r="http://schemas.openxmlformats.org/officeDocument/2006/relationships" ref="G4" r:id="rId6"/>
  </hyperlinks>
  <pageMargins left="0.4" right="0.4" top="0.5" bottom="0.5" header="0.2" footer="0.2"/>
  <pageSetup orientation="landscape" paperSize="9" fitToHeight="0" fitToWidth="1"/>
</worksheet>
</file>

<file path=xl/worksheets/sheet8.xml><?xml version="1.0" encoding="utf-8"?>
<worksheet xmlns="http://schemas.openxmlformats.org/spreadsheetml/2006/main">
  <sheetPr>
    <tabColor rgb="00C7522A"/>
    <outlinePr summaryBelow="1" summaryRight="1"/>
    <pageSetUpPr fitToPage="1"/>
  </sheetPr>
  <dimension ref="A1:M28"/>
  <sheetViews>
    <sheetView showGridLines="0" zoomScale="90" workbookViewId="0">
      <pane xSplit="4" ySplit="7" topLeftCell="E8"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6" customWidth="1" min="3" max="3"/>
    <col width="22" customWidth="1" min="4" max="4"/>
    <col width="8" customWidth="1" min="5" max="5"/>
    <col width="8" customWidth="1" min="6" max="6"/>
    <col width="8" customWidth="1" min="7" max="7"/>
    <col width="8" customWidth="1" min="8" max="8"/>
    <col width="8" customWidth="1" min="9" max="9"/>
    <col width="8" customWidth="1" min="10" max="10"/>
    <col width="8" customWidth="1" min="11" max="11"/>
    <col width="18" customWidth="1" min="12" max="12"/>
    <col width="28" customWidth="1" min="13" max="13"/>
  </cols>
  <sheetData>
    <row r="1" ht="16" customHeight="1">
      <c r="A1" s="1" t="inlineStr">
        <is>
          <t>PATHCARE DIAGNOSTICS  ·  Pathology Laboratory</t>
        </is>
      </c>
      <c r="B1" s="2" t="n"/>
      <c r="C1" s="2" t="n"/>
      <c r="D1" s="2" t="n"/>
      <c r="E1" s="2" t="n"/>
      <c r="F1" s="2" t="n"/>
      <c r="G1" s="2" t="n"/>
      <c r="H1" s="2" t="n"/>
      <c r="I1" s="2" t="n"/>
      <c r="J1" s="2" t="n"/>
      <c r="K1" s="2" t="n"/>
      <c r="L1" s="2" t="n"/>
      <c r="M1" s="2" t="n"/>
    </row>
    <row r="2" ht="26" customHeight="1">
      <c r="A2" s="3" t="inlineStr">
        <is>
          <t>WEEK 4 ROSTER  ·  Days 22–28</t>
        </is>
      </c>
      <c r="B2" s="2" t="n"/>
      <c r="C2" s="2" t="n"/>
      <c r="D2" s="2" t="n"/>
      <c r="E2" s="2" t="n"/>
      <c r="F2" s="2" t="n"/>
      <c r="G2" s="2" t="n"/>
      <c r="H2" s="2" t="n"/>
      <c r="I2" s="2" t="n"/>
      <c r="J2" s="2" t="n"/>
      <c r="K2" s="2" t="n"/>
      <c r="L2" s="2" t="n"/>
      <c r="M2" s="2" t="n"/>
    </row>
    <row r="3" ht="18" customHeight="1">
      <c r="A3" s="4" t="inlineStr">
        <is>
          <t>Edit shifts here  ·  Syncs to Full Month automatically  ·  Period = Roster Month/Year</t>
        </is>
      </c>
      <c r="B3" s="2" t="n"/>
      <c r="C3" s="2" t="n"/>
      <c r="D3" s="2" t="n"/>
      <c r="E3" s="2" t="n"/>
      <c r="F3" s="2" t="n"/>
      <c r="G3" s="2" t="n"/>
      <c r="H3" s="2" t="n"/>
      <c r="I3" s="2" t="n"/>
      <c r="J3" s="2" t="n"/>
      <c r="K3" s="2" t="n"/>
      <c r="L3" s="2" t="n"/>
      <c r="M3" s="2" t="n"/>
    </row>
    <row r="4" ht="22" customHeight="1">
      <c r="A4" s="7" t="inlineStr">
        <is>
          <t>GO →</t>
        </is>
      </c>
      <c r="B4" s="50" t="inlineStr">
        <is>
          <t>Full Month</t>
        </is>
      </c>
      <c r="C4" s="51" t="inlineStr">
        <is>
          <t>▶ W1</t>
        </is>
      </c>
      <c r="D4" s="52" t="inlineStr">
        <is>
          <t>▶ W2</t>
        </is>
      </c>
      <c r="E4" s="53" t="inlineStr">
        <is>
          <t>▶ W3</t>
        </is>
      </c>
      <c r="F4" s="54" t="inlineStr">
        <is>
          <t>● W4</t>
        </is>
      </c>
      <c r="G4" s="55" t="inlineStr">
        <is>
          <t>▶ W5</t>
        </is>
      </c>
      <c r="H4" s="68" t="inlineStr">
        <is>
          <t>You are on Week 4  |  Drop-down: M E N WO PH LV TR</t>
        </is>
      </c>
    </row>
    <row r="5">
      <c r="A5" s="29" t="inlineStr">
        <is>
          <t>Month</t>
        </is>
      </c>
      <c r="B5" s="28">
        <f>'03_Roster'!B5</f>
        <v/>
      </c>
      <c r="C5" s="29" t="inlineStr">
        <is>
          <t>Year</t>
        </is>
      </c>
      <c r="D5" s="28">
        <f>'03_Roster'!D5</f>
        <v/>
      </c>
    </row>
    <row r="6">
      <c r="A6" s="29" t="inlineStr">
        <is>
          <t>Emp ID</t>
        </is>
      </c>
      <c r="B6" s="29" t="inlineStr">
        <is>
          <t>Employee Name</t>
        </is>
      </c>
      <c r="C6" s="29" t="inlineStr">
        <is>
          <t>Department</t>
        </is>
      </c>
      <c r="D6" s="29" t="inlineStr">
        <is>
          <t>Designation</t>
        </is>
      </c>
      <c r="E6" s="73" t="n">
        <v>22</v>
      </c>
      <c r="F6" s="73" t="n">
        <v>23</v>
      </c>
      <c r="G6" s="73" t="n">
        <v>24</v>
      </c>
      <c r="H6" s="73" t="n">
        <v>25</v>
      </c>
      <c r="I6" s="73" t="n">
        <v>26</v>
      </c>
      <c r="J6" s="73" t="n">
        <v>27</v>
      </c>
      <c r="K6" s="73" t="n">
        <v>28</v>
      </c>
      <c r="L6" s="57" t="inlineStr">
        <is>
          <t>Backup</t>
        </is>
      </c>
      <c r="M6" s="57" t="inlineStr">
        <is>
          <t>Week notes</t>
        </is>
      </c>
    </row>
    <row r="7">
      <c r="A7" s="13" t="n"/>
      <c r="B7" s="13" t="n"/>
      <c r="C7" s="13" t="n"/>
      <c r="D7" s="13" t="n"/>
      <c r="E7" s="58">
        <f>IF(E$6&gt;DAY(DATE('03_Roster'!$D$5,'03_Roster'!$B$5+1,0)),"",TEXT(DATE('03_Roster'!$D$5,'03_Roster'!$B$5,E$6),"DDD"))</f>
        <v/>
      </c>
      <c r="F7" s="58">
        <f>IF(F$6&gt;DAY(DATE('03_Roster'!$D$5,'03_Roster'!$B$5+1,0)),"",TEXT(DATE('03_Roster'!$D$5,'03_Roster'!$B$5,F$6),"DDD"))</f>
        <v/>
      </c>
      <c r="G7" s="58">
        <f>IF(G$6&gt;DAY(DATE('03_Roster'!$D$5,'03_Roster'!$B$5+1,0)),"",TEXT(DATE('03_Roster'!$D$5,'03_Roster'!$B$5,G$6),"DDD"))</f>
        <v/>
      </c>
      <c r="H7" s="58">
        <f>IF(H$6&gt;DAY(DATE('03_Roster'!$D$5,'03_Roster'!$B$5+1,0)),"",TEXT(DATE('03_Roster'!$D$5,'03_Roster'!$B$5,H$6),"DDD"))</f>
        <v/>
      </c>
      <c r="I7" s="58">
        <f>IF(I$6&gt;DAY(DATE('03_Roster'!$D$5,'03_Roster'!$B$5+1,0)),"",TEXT(DATE('03_Roster'!$D$5,'03_Roster'!$B$5,I$6),"DDD"))</f>
        <v/>
      </c>
      <c r="J7" s="58">
        <f>IF(J$6&gt;DAY(DATE('03_Roster'!$D$5,'03_Roster'!$B$5+1,0)),"",TEXT(DATE('03_Roster'!$D$5,'03_Roster'!$B$5,J$6),"DDD"))</f>
        <v/>
      </c>
      <c r="K7" s="58">
        <f>IF(K$6&gt;DAY(DATE('03_Roster'!$D$5,'03_Roster'!$B$5+1,0)),"",TEXT(DATE('03_Roster'!$D$5,'03_Roster'!$B$5,K$6),"DDD"))</f>
        <v/>
      </c>
      <c r="L7" s="13" t="n"/>
      <c r="M7" s="13" t="n"/>
    </row>
    <row r="8" ht="20" customHeight="1">
      <c r="A8" s="30">
        <f>'02_Employee_Master'!A6</f>
        <v/>
      </c>
      <c r="B8" s="9">
        <f>'02_Employee_Master'!B6</f>
        <v/>
      </c>
      <c r="C8" s="9">
        <f>'02_Employee_Master'!D6</f>
        <v/>
      </c>
      <c r="D8" s="9">
        <f>'02_Employee_Master'!C6</f>
        <v/>
      </c>
      <c r="E8" s="69" t="inlineStr">
        <is>
          <t>M</t>
        </is>
      </c>
      <c r="F8" s="69" t="inlineStr">
        <is>
          <t>M</t>
        </is>
      </c>
      <c r="G8" s="69" t="inlineStr">
        <is>
          <t>M</t>
        </is>
      </c>
      <c r="H8" s="69" t="inlineStr">
        <is>
          <t>M</t>
        </is>
      </c>
      <c r="I8" s="69" t="inlineStr">
        <is>
          <t>M</t>
        </is>
      </c>
      <c r="J8" s="69" t="inlineStr">
        <is>
          <t>M</t>
        </is>
      </c>
      <c r="K8" s="69" t="inlineStr">
        <is>
          <t>WO</t>
        </is>
      </c>
      <c r="L8" s="30" t="inlineStr">
        <is>
          <t>Vikram Singh</t>
        </is>
      </c>
      <c r="M8" s="30" t="inlineStr"/>
    </row>
    <row r="9" ht="20" customHeight="1">
      <c r="A9" s="33">
        <f>'02_Employee_Master'!A7</f>
        <v/>
      </c>
      <c r="B9" s="11">
        <f>'02_Employee_Master'!B7</f>
        <v/>
      </c>
      <c r="C9" s="11">
        <f>'02_Employee_Master'!D7</f>
        <v/>
      </c>
      <c r="D9" s="11">
        <f>'02_Employee_Master'!C7</f>
        <v/>
      </c>
      <c r="E9" s="70" t="inlineStr">
        <is>
          <t>M</t>
        </is>
      </c>
      <c r="F9" s="70" t="inlineStr">
        <is>
          <t>WO</t>
        </is>
      </c>
      <c r="G9" s="70" t="inlineStr">
        <is>
          <t>E</t>
        </is>
      </c>
      <c r="H9" s="70" t="inlineStr">
        <is>
          <t>M</t>
        </is>
      </c>
      <c r="I9" s="70" t="inlineStr">
        <is>
          <t>M</t>
        </is>
      </c>
      <c r="J9" s="70" t="inlineStr">
        <is>
          <t>M</t>
        </is>
      </c>
      <c r="K9" s="70" t="inlineStr">
        <is>
          <t>M</t>
        </is>
      </c>
      <c r="L9" s="33" t="inlineStr"/>
      <c r="M9" s="33" t="inlineStr"/>
    </row>
    <row r="10" ht="20" customHeight="1">
      <c r="A10" s="30">
        <f>'02_Employee_Master'!A8</f>
        <v/>
      </c>
      <c r="B10" s="9">
        <f>'02_Employee_Master'!B8</f>
        <v/>
      </c>
      <c r="C10" s="9">
        <f>'02_Employee_Master'!D8</f>
        <v/>
      </c>
      <c r="D10" s="9">
        <f>'02_Employee_Master'!C8</f>
        <v/>
      </c>
      <c r="E10" s="69" t="inlineStr">
        <is>
          <t>N</t>
        </is>
      </c>
      <c r="F10" s="69" t="inlineStr">
        <is>
          <t>E</t>
        </is>
      </c>
      <c r="G10" s="69" t="inlineStr">
        <is>
          <t>M</t>
        </is>
      </c>
      <c r="H10" s="69" t="inlineStr">
        <is>
          <t>WO</t>
        </is>
      </c>
      <c r="I10" s="69" t="inlineStr">
        <is>
          <t>M</t>
        </is>
      </c>
      <c r="J10" s="69" t="inlineStr">
        <is>
          <t>M</t>
        </is>
      </c>
      <c r="K10" s="69" t="inlineStr">
        <is>
          <t>E</t>
        </is>
      </c>
      <c r="L10" s="30" t="inlineStr"/>
      <c r="M10" s="30" t="inlineStr"/>
    </row>
    <row r="11" ht="20" customHeight="1">
      <c r="A11" s="33">
        <f>'02_Employee_Master'!A9</f>
        <v/>
      </c>
      <c r="B11" s="11">
        <f>'02_Employee_Master'!B9</f>
        <v/>
      </c>
      <c r="C11" s="11">
        <f>'02_Employee_Master'!D9</f>
        <v/>
      </c>
      <c r="D11" s="11">
        <f>'02_Employee_Master'!C9</f>
        <v/>
      </c>
      <c r="E11" s="70" t="inlineStr">
        <is>
          <t>E</t>
        </is>
      </c>
      <c r="F11" s="70" t="inlineStr">
        <is>
          <t>M</t>
        </is>
      </c>
      <c r="G11" s="70" t="inlineStr">
        <is>
          <t>M</t>
        </is>
      </c>
      <c r="H11" s="70" t="inlineStr">
        <is>
          <t>M</t>
        </is>
      </c>
      <c r="I11" s="70" t="inlineStr">
        <is>
          <t>M</t>
        </is>
      </c>
      <c r="J11" s="70" t="inlineStr">
        <is>
          <t>WO</t>
        </is>
      </c>
      <c r="K11" s="70" t="inlineStr">
        <is>
          <t>N</t>
        </is>
      </c>
      <c r="L11" s="33" t="inlineStr"/>
      <c r="M11" s="33" t="inlineStr"/>
    </row>
    <row r="12" ht="20" customHeight="1">
      <c r="A12" s="30">
        <f>'02_Employee_Master'!A10</f>
        <v/>
      </c>
      <c r="B12" s="9">
        <f>'02_Employee_Master'!B10</f>
        <v/>
      </c>
      <c r="C12" s="9">
        <f>'02_Employee_Master'!D10</f>
        <v/>
      </c>
      <c r="D12" s="9">
        <f>'02_Employee_Master'!C10</f>
        <v/>
      </c>
      <c r="E12" s="69" t="inlineStr">
        <is>
          <t>WO</t>
        </is>
      </c>
      <c r="F12" s="69" t="inlineStr">
        <is>
          <t>E</t>
        </is>
      </c>
      <c r="G12" s="69" t="inlineStr">
        <is>
          <t>M</t>
        </is>
      </c>
      <c r="H12" s="69" t="inlineStr">
        <is>
          <t>M</t>
        </is>
      </c>
      <c r="I12" s="69" t="inlineStr">
        <is>
          <t>E</t>
        </is>
      </c>
      <c r="J12" s="69" t="inlineStr">
        <is>
          <t>M</t>
        </is>
      </c>
      <c r="K12" s="69" t="inlineStr">
        <is>
          <t>M</t>
        </is>
      </c>
      <c r="L12" s="30" t="inlineStr"/>
      <c r="M12" s="30" t="inlineStr"/>
    </row>
    <row r="13" ht="20" customHeight="1">
      <c r="A13" s="33">
        <f>'02_Employee_Master'!A11</f>
        <v/>
      </c>
      <c r="B13" s="11">
        <f>'02_Employee_Master'!B11</f>
        <v/>
      </c>
      <c r="C13" s="11">
        <f>'02_Employee_Master'!D11</f>
        <v/>
      </c>
      <c r="D13" s="11">
        <f>'02_Employee_Master'!C11</f>
        <v/>
      </c>
      <c r="E13" s="70" t="inlineStr">
        <is>
          <t>M</t>
        </is>
      </c>
      <c r="F13" s="70" t="inlineStr">
        <is>
          <t>M</t>
        </is>
      </c>
      <c r="G13" s="70" t="inlineStr">
        <is>
          <t>WO</t>
        </is>
      </c>
      <c r="H13" s="70" t="inlineStr">
        <is>
          <t>E</t>
        </is>
      </c>
      <c r="I13" s="70" t="inlineStr">
        <is>
          <t>N</t>
        </is>
      </c>
      <c r="J13" s="70" t="inlineStr">
        <is>
          <t>M</t>
        </is>
      </c>
      <c r="K13" s="70" t="inlineStr">
        <is>
          <t>M</t>
        </is>
      </c>
      <c r="L13" s="33" t="inlineStr"/>
      <c r="M13" s="33" t="inlineStr"/>
    </row>
    <row r="14" ht="20" customHeight="1">
      <c r="A14" s="30">
        <f>'02_Employee_Master'!A12</f>
        <v/>
      </c>
      <c r="B14" s="9">
        <f>'02_Employee_Master'!B12</f>
        <v/>
      </c>
      <c r="C14" s="9">
        <f>'02_Employee_Master'!D12</f>
        <v/>
      </c>
      <c r="D14" s="9">
        <f>'02_Employee_Master'!C12</f>
        <v/>
      </c>
      <c r="E14" s="69" t="inlineStr">
        <is>
          <t>M</t>
        </is>
      </c>
      <c r="F14" s="69" t="inlineStr">
        <is>
          <t>M</t>
        </is>
      </c>
      <c r="G14" s="69" t="inlineStr">
        <is>
          <t>E</t>
        </is>
      </c>
      <c r="H14" s="69" t="inlineStr">
        <is>
          <t>M</t>
        </is>
      </c>
      <c r="I14" s="69" t="inlineStr">
        <is>
          <t>WO</t>
        </is>
      </c>
      <c r="J14" s="69" t="inlineStr">
        <is>
          <t>E</t>
        </is>
      </c>
      <c r="K14" s="69" t="inlineStr">
        <is>
          <t>M</t>
        </is>
      </c>
      <c r="L14" s="30" t="inlineStr">
        <is>
          <t>Karan Malhotra</t>
        </is>
      </c>
      <c r="M14" s="30" t="inlineStr"/>
    </row>
    <row r="15" ht="20" customHeight="1">
      <c r="A15" s="33">
        <f>'02_Employee_Master'!A13</f>
        <v/>
      </c>
      <c r="B15" s="11">
        <f>'02_Employee_Master'!B13</f>
        <v/>
      </c>
      <c r="C15" s="11">
        <f>'02_Employee_Master'!D13</f>
        <v/>
      </c>
      <c r="D15" s="11">
        <f>'02_Employee_Master'!C13</f>
        <v/>
      </c>
      <c r="E15" s="70" t="inlineStr">
        <is>
          <t>M</t>
        </is>
      </c>
      <c r="F15" s="70" t="inlineStr">
        <is>
          <t>E</t>
        </is>
      </c>
      <c r="G15" s="70" t="inlineStr">
        <is>
          <t>N</t>
        </is>
      </c>
      <c r="H15" s="70" t="inlineStr">
        <is>
          <t>M</t>
        </is>
      </c>
      <c r="I15" s="70" t="inlineStr">
        <is>
          <t>M</t>
        </is>
      </c>
      <c r="J15" s="70" t="inlineStr">
        <is>
          <t>M</t>
        </is>
      </c>
      <c r="K15" s="70" t="inlineStr">
        <is>
          <t>WO</t>
        </is>
      </c>
      <c r="L15" s="33" t="inlineStr"/>
      <c r="M15" s="33" t="inlineStr"/>
    </row>
    <row r="16" ht="20" customHeight="1">
      <c r="A16" s="30">
        <f>'02_Employee_Master'!A14</f>
        <v/>
      </c>
      <c r="B16" s="9">
        <f>'02_Employee_Master'!B14</f>
        <v/>
      </c>
      <c r="C16" s="9">
        <f>'02_Employee_Master'!D14</f>
        <v/>
      </c>
      <c r="D16" s="9">
        <f>'02_Employee_Master'!C14</f>
        <v/>
      </c>
      <c r="E16" s="69" t="inlineStr">
        <is>
          <t>M</t>
        </is>
      </c>
      <c r="F16" s="69" t="inlineStr">
        <is>
          <t>WO</t>
        </is>
      </c>
      <c r="G16" s="69" t="inlineStr">
        <is>
          <t>M</t>
        </is>
      </c>
      <c r="H16" s="69" t="inlineStr">
        <is>
          <t>M</t>
        </is>
      </c>
      <c r="I16" s="69" t="inlineStr">
        <is>
          <t>M</t>
        </is>
      </c>
      <c r="J16" s="69" t="inlineStr">
        <is>
          <t>M</t>
        </is>
      </c>
      <c r="K16" s="69" t="inlineStr">
        <is>
          <t>M</t>
        </is>
      </c>
      <c r="L16" s="30" t="inlineStr"/>
      <c r="M16" s="30" t="inlineStr"/>
    </row>
    <row r="17" ht="20" customHeight="1">
      <c r="A17" s="33">
        <f>'02_Employee_Master'!A15</f>
        <v/>
      </c>
      <c r="B17" s="11">
        <f>'02_Employee_Master'!B15</f>
        <v/>
      </c>
      <c r="C17" s="11">
        <f>'02_Employee_Master'!D15</f>
        <v/>
      </c>
      <c r="D17" s="11">
        <f>'02_Employee_Master'!C15</f>
        <v/>
      </c>
      <c r="E17" s="70" t="inlineStr">
        <is>
          <t>M</t>
        </is>
      </c>
      <c r="F17" s="70" t="inlineStr">
        <is>
          <t>M</t>
        </is>
      </c>
      <c r="G17" s="70" t="inlineStr">
        <is>
          <t>E</t>
        </is>
      </c>
      <c r="H17" s="70" t="inlineStr">
        <is>
          <t>WO</t>
        </is>
      </c>
      <c r="I17" s="70" t="inlineStr">
        <is>
          <t>M</t>
        </is>
      </c>
      <c r="J17" s="70" t="inlineStr">
        <is>
          <t>E</t>
        </is>
      </c>
      <c r="K17" s="70" t="inlineStr">
        <is>
          <t>M</t>
        </is>
      </c>
      <c r="L17" s="33" t="inlineStr"/>
      <c r="M17" s="33" t="inlineStr"/>
    </row>
    <row r="18" ht="20" customHeight="1">
      <c r="A18" s="30">
        <f>'02_Employee_Master'!A16</f>
        <v/>
      </c>
      <c r="B18" s="9">
        <f>'02_Employee_Master'!B16</f>
        <v/>
      </c>
      <c r="C18" s="9">
        <f>'02_Employee_Master'!D16</f>
        <v/>
      </c>
      <c r="D18" s="9">
        <f>'02_Employee_Master'!C16</f>
        <v/>
      </c>
      <c r="E18" s="69" t="inlineStr">
        <is>
          <t>M</t>
        </is>
      </c>
      <c r="F18" s="69" t="inlineStr">
        <is>
          <t>M</t>
        </is>
      </c>
      <c r="G18" s="69" t="inlineStr">
        <is>
          <t>M</t>
        </is>
      </c>
      <c r="H18" s="69" t="inlineStr">
        <is>
          <t>M</t>
        </is>
      </c>
      <c r="I18" s="69" t="inlineStr">
        <is>
          <t>M</t>
        </is>
      </c>
      <c r="J18" s="69" t="inlineStr">
        <is>
          <t>WO</t>
        </is>
      </c>
      <c r="K18" s="69" t="inlineStr">
        <is>
          <t>M</t>
        </is>
      </c>
      <c r="L18" s="30" t="inlineStr"/>
      <c r="M18" s="30" t="inlineStr"/>
    </row>
    <row r="19" ht="20" customHeight="1">
      <c r="A19" s="33">
        <f>'02_Employee_Master'!A17</f>
        <v/>
      </c>
      <c r="B19" s="11">
        <f>'02_Employee_Master'!B17</f>
        <v/>
      </c>
      <c r="C19" s="11">
        <f>'02_Employee_Master'!D17</f>
        <v/>
      </c>
      <c r="D19" s="11">
        <f>'02_Employee_Master'!C17</f>
        <v/>
      </c>
      <c r="E19" s="70" t="inlineStr">
        <is>
          <t>WO</t>
        </is>
      </c>
      <c r="F19" s="70" t="inlineStr">
        <is>
          <t>M</t>
        </is>
      </c>
      <c r="G19" s="70" t="inlineStr">
        <is>
          <t>E</t>
        </is>
      </c>
      <c r="H19" s="70" t="inlineStr">
        <is>
          <t>M</t>
        </is>
      </c>
      <c r="I19" s="70" t="inlineStr">
        <is>
          <t>M</t>
        </is>
      </c>
      <c r="J19" s="70" t="inlineStr">
        <is>
          <t>N</t>
        </is>
      </c>
      <c r="K19" s="70" t="inlineStr">
        <is>
          <t>M</t>
        </is>
      </c>
      <c r="L19" s="33" t="inlineStr"/>
      <c r="M19" s="33" t="inlineStr"/>
    </row>
    <row r="20" ht="20" customHeight="1">
      <c r="A20" s="30">
        <f>'02_Employee_Master'!A18</f>
        <v/>
      </c>
      <c r="B20" s="9">
        <f>'02_Employee_Master'!B18</f>
        <v/>
      </c>
      <c r="C20" s="9">
        <f>'02_Employee_Master'!D18</f>
        <v/>
      </c>
      <c r="D20" s="9">
        <f>'02_Employee_Master'!C18</f>
        <v/>
      </c>
      <c r="E20" s="69" t="inlineStr">
        <is>
          <t>M</t>
        </is>
      </c>
      <c r="F20" s="69" t="inlineStr">
        <is>
          <t>M</t>
        </is>
      </c>
      <c r="G20" s="69" t="inlineStr">
        <is>
          <t>WO</t>
        </is>
      </c>
      <c r="H20" s="69" t="inlineStr">
        <is>
          <t>M</t>
        </is>
      </c>
      <c r="I20" s="69" t="inlineStr">
        <is>
          <t>M</t>
        </is>
      </c>
      <c r="J20" s="69" t="inlineStr">
        <is>
          <t>M</t>
        </is>
      </c>
      <c r="K20" s="69" t="inlineStr">
        <is>
          <t>M</t>
        </is>
      </c>
      <c r="L20" s="30" t="inlineStr">
        <is>
          <t>Deepak Joshi</t>
        </is>
      </c>
      <c r="M20" s="30" t="inlineStr"/>
    </row>
    <row r="21" ht="20" customHeight="1">
      <c r="A21" s="33">
        <f>'02_Employee_Master'!A19</f>
        <v/>
      </c>
      <c r="B21" s="11">
        <f>'02_Employee_Master'!B19</f>
        <v/>
      </c>
      <c r="C21" s="11">
        <f>'02_Employee_Master'!D19</f>
        <v/>
      </c>
      <c r="D21" s="11">
        <f>'02_Employee_Master'!C19</f>
        <v/>
      </c>
      <c r="E21" s="70" t="inlineStr">
        <is>
          <t>M</t>
        </is>
      </c>
      <c r="F21" s="70" t="inlineStr">
        <is>
          <t>E</t>
        </is>
      </c>
      <c r="G21" s="70" t="inlineStr">
        <is>
          <t>M</t>
        </is>
      </c>
      <c r="H21" s="70" t="inlineStr">
        <is>
          <t>M</t>
        </is>
      </c>
      <c r="I21" s="70" t="inlineStr">
        <is>
          <t>WO</t>
        </is>
      </c>
      <c r="J21" s="70" t="inlineStr">
        <is>
          <t>M</t>
        </is>
      </c>
      <c r="K21" s="70" t="inlineStr">
        <is>
          <t>M</t>
        </is>
      </c>
      <c r="L21" s="33" t="inlineStr"/>
      <c r="M21" s="33" t="inlineStr"/>
    </row>
    <row r="22" ht="20" customHeight="1">
      <c r="A22" s="30">
        <f>'02_Employee_Master'!A20</f>
        <v/>
      </c>
      <c r="B22" s="9">
        <f>'02_Employee_Master'!B20</f>
        <v/>
      </c>
      <c r="C22" s="9">
        <f>'02_Employee_Master'!D20</f>
        <v/>
      </c>
      <c r="D22" s="9">
        <f>'02_Employee_Master'!C20</f>
        <v/>
      </c>
      <c r="E22" s="69" t="inlineStr">
        <is>
          <t>M</t>
        </is>
      </c>
      <c r="F22" s="69" t="inlineStr">
        <is>
          <t>M</t>
        </is>
      </c>
      <c r="G22" s="69" t="inlineStr">
        <is>
          <t>M</t>
        </is>
      </c>
      <c r="H22" s="69" t="inlineStr">
        <is>
          <t>M</t>
        </is>
      </c>
      <c r="I22" s="69" t="inlineStr">
        <is>
          <t>M</t>
        </is>
      </c>
      <c r="J22" s="69" t="inlineStr">
        <is>
          <t>M</t>
        </is>
      </c>
      <c r="K22" s="69" t="inlineStr">
        <is>
          <t>WO</t>
        </is>
      </c>
      <c r="L22" s="30" t="inlineStr"/>
      <c r="M22" s="30" t="inlineStr"/>
    </row>
    <row r="23" ht="20" customHeight="1">
      <c r="A23" s="33">
        <f>'02_Employee_Master'!A21</f>
        <v/>
      </c>
      <c r="B23" s="11">
        <f>'02_Employee_Master'!B21</f>
        <v/>
      </c>
      <c r="C23" s="11">
        <f>'02_Employee_Master'!D21</f>
        <v/>
      </c>
      <c r="D23" s="11">
        <f>'02_Employee_Master'!C21</f>
        <v/>
      </c>
      <c r="E23" s="70" t="inlineStr">
        <is>
          <t>M</t>
        </is>
      </c>
      <c r="F23" s="70" t="inlineStr">
        <is>
          <t>WO</t>
        </is>
      </c>
      <c r="G23" s="70" t="inlineStr">
        <is>
          <t>M</t>
        </is>
      </c>
      <c r="H23" s="70" t="inlineStr">
        <is>
          <t>E</t>
        </is>
      </c>
      <c r="I23" s="70" t="inlineStr">
        <is>
          <t>M</t>
        </is>
      </c>
      <c r="J23" s="70" t="inlineStr">
        <is>
          <t>M</t>
        </is>
      </c>
      <c r="K23" s="70" t="inlineStr">
        <is>
          <t>M</t>
        </is>
      </c>
      <c r="L23" s="33" t="inlineStr"/>
      <c r="M23" s="33" t="inlineStr"/>
    </row>
    <row r="24" ht="20" customHeight="1">
      <c r="A24" s="30">
        <f>'02_Employee_Master'!A22</f>
        <v/>
      </c>
      <c r="B24" s="9">
        <f>'02_Employee_Master'!B22</f>
        <v/>
      </c>
      <c r="C24" s="9">
        <f>'02_Employee_Master'!D22</f>
        <v/>
      </c>
      <c r="D24" s="9">
        <f>'02_Employee_Master'!C22</f>
        <v/>
      </c>
      <c r="E24" s="69" t="inlineStr">
        <is>
          <t>M</t>
        </is>
      </c>
      <c r="F24" s="69" t="inlineStr">
        <is>
          <t>E</t>
        </is>
      </c>
      <c r="G24" s="69" t="inlineStr">
        <is>
          <t>M</t>
        </is>
      </c>
      <c r="H24" s="69" t="inlineStr">
        <is>
          <t>WO</t>
        </is>
      </c>
      <c r="I24" s="69" t="inlineStr">
        <is>
          <t>E</t>
        </is>
      </c>
      <c r="J24" s="69" t="inlineStr">
        <is>
          <t>M</t>
        </is>
      </c>
      <c r="K24" s="69" t="inlineStr">
        <is>
          <t>M</t>
        </is>
      </c>
      <c r="L24" s="30" t="inlineStr"/>
      <c r="M24" s="30" t="inlineStr"/>
    </row>
    <row r="25" ht="20" customHeight="1">
      <c r="A25" s="33">
        <f>'02_Employee_Master'!A23</f>
        <v/>
      </c>
      <c r="B25" s="11">
        <f>'02_Employee_Master'!B23</f>
        <v/>
      </c>
      <c r="C25" s="11">
        <f>'02_Employee_Master'!D23</f>
        <v/>
      </c>
      <c r="D25" s="11">
        <f>'02_Employee_Master'!C23</f>
        <v/>
      </c>
      <c r="E25" s="70" t="inlineStr">
        <is>
          <t>M</t>
        </is>
      </c>
      <c r="F25" s="70" t="inlineStr">
        <is>
          <t>M</t>
        </is>
      </c>
      <c r="G25" s="70" t="inlineStr">
        <is>
          <t>M</t>
        </is>
      </c>
      <c r="H25" s="70" t="inlineStr">
        <is>
          <t>M</t>
        </is>
      </c>
      <c r="I25" s="70" t="inlineStr">
        <is>
          <t>M</t>
        </is>
      </c>
      <c r="J25" s="70" t="inlineStr">
        <is>
          <t>WO</t>
        </is>
      </c>
      <c r="K25" s="70" t="inlineStr">
        <is>
          <t>M</t>
        </is>
      </c>
      <c r="L25" s="33" t="inlineStr"/>
      <c r="M25" s="33" t="inlineStr"/>
    </row>
    <row r="26" ht="20" customHeight="1">
      <c r="A26" s="30">
        <f>'02_Employee_Master'!A24</f>
        <v/>
      </c>
      <c r="B26" s="9">
        <f>'02_Employee_Master'!B24</f>
        <v/>
      </c>
      <c r="C26" s="9">
        <f>'02_Employee_Master'!D24</f>
        <v/>
      </c>
      <c r="D26" s="9">
        <f>'02_Employee_Master'!C24</f>
        <v/>
      </c>
      <c r="E26" s="69" t="inlineStr">
        <is>
          <t>WO</t>
        </is>
      </c>
      <c r="F26" s="69" t="inlineStr">
        <is>
          <t>M</t>
        </is>
      </c>
      <c r="G26" s="69" t="inlineStr">
        <is>
          <t>M</t>
        </is>
      </c>
      <c r="H26" s="69" t="inlineStr">
        <is>
          <t>M</t>
        </is>
      </c>
      <c r="I26" s="69" t="inlineStr">
        <is>
          <t>M</t>
        </is>
      </c>
      <c r="J26" s="69" t="inlineStr">
        <is>
          <t>M</t>
        </is>
      </c>
      <c r="K26" s="69" t="inlineStr">
        <is>
          <t>M</t>
        </is>
      </c>
      <c r="L26" s="30" t="inlineStr">
        <is>
          <t>Thomas Mathew</t>
        </is>
      </c>
      <c r="M26" s="30" t="inlineStr"/>
    </row>
    <row r="27" ht="20" customHeight="1">
      <c r="A27" s="33">
        <f>'02_Employee_Master'!A25</f>
        <v/>
      </c>
      <c r="B27" s="11">
        <f>'02_Employee_Master'!B25</f>
        <v/>
      </c>
      <c r="C27" s="11">
        <f>'02_Employee_Master'!D25</f>
        <v/>
      </c>
      <c r="D27" s="11">
        <f>'02_Employee_Master'!C25</f>
        <v/>
      </c>
      <c r="E27" s="70" t="inlineStr"/>
      <c r="F27" s="70" t="inlineStr"/>
      <c r="G27" s="70" t="inlineStr"/>
      <c r="H27" s="70" t="inlineStr"/>
      <c r="I27" s="70" t="inlineStr"/>
      <c r="J27" s="70" t="inlineStr"/>
      <c r="K27" s="70" t="inlineStr"/>
      <c r="L27" s="33" t="inlineStr"/>
      <c r="M27" s="33" t="inlineStr"/>
    </row>
    <row r="28">
      <c r="A28" s="61" t="inlineStr">
        <is>
          <t>On duty (M+E+N)</t>
        </is>
      </c>
      <c r="B28" s="13" t="n"/>
      <c r="C28" s="13" t="n"/>
      <c r="D28" s="13" t="n"/>
      <c r="E28" s="7">
        <f>COUNTIF(E8:E27,"M")+COUNTIF(E8:E27,"E")+COUNTIF(E8:E27,"N")</f>
        <v/>
      </c>
      <c r="F28" s="7">
        <f>COUNTIF(F8:F27,"M")+COUNTIF(F8:F27,"E")+COUNTIF(F8:F27,"N")</f>
        <v/>
      </c>
      <c r="G28" s="7">
        <f>COUNTIF(G8:G27,"M")+COUNTIF(G8:G27,"E")+COUNTIF(G8:G27,"N")</f>
        <v/>
      </c>
      <c r="H28" s="7">
        <f>COUNTIF(H8:H27,"M")+COUNTIF(H8:H27,"E")+COUNTIF(H8:H27,"N")</f>
        <v/>
      </c>
      <c r="I28" s="7">
        <f>COUNTIF(I8:I27,"M")+COUNTIF(I8:I27,"E")+COUNTIF(I8:I27,"N")</f>
        <v/>
      </c>
      <c r="J28" s="7">
        <f>COUNTIF(J8:J27,"M")+COUNTIF(J8:J27,"E")+COUNTIF(J8:J27,"N")</f>
        <v/>
      </c>
      <c r="K28" s="7">
        <f>COUNTIF(K8:K27,"M")+COUNTIF(K8:K27,"E")+COUNTIF(K8:K27,"N")</f>
        <v/>
      </c>
    </row>
  </sheetData>
  <mergeCells count="5">
    <mergeCell ref="A1:M1"/>
    <mergeCell ref="A3:M3"/>
    <mergeCell ref="H4:L4"/>
    <mergeCell ref="A28:D28"/>
    <mergeCell ref="A2:M2"/>
  </mergeCells>
  <conditionalFormatting sqref="E8:K27">
    <cfRule type="cellIs" priority="1" operator="equal" dxfId="10">
      <formula>"M"</formula>
    </cfRule>
    <cfRule type="cellIs" priority="2" operator="equal" dxfId="11">
      <formula>"E"</formula>
    </cfRule>
    <cfRule type="cellIs" priority="3" operator="equal" dxfId="12">
      <formula>"N"</formula>
    </cfRule>
    <cfRule type="cellIs" priority="4" operator="equal" dxfId="13">
      <formula>"WO"</formula>
    </cfRule>
    <cfRule type="cellIs" priority="5" operator="equal" dxfId="14">
      <formula>"PH"</formula>
    </cfRule>
    <cfRule type="cellIs" priority="6" operator="equal" dxfId="15">
      <formula>"LV"</formula>
    </cfRule>
    <cfRule type="cellIs" priority="7" operator="equal" dxfId="16">
      <formula>"TR"</formula>
    </cfRule>
  </conditionalFormatting>
  <conditionalFormatting sqref="E7:E27">
    <cfRule type="expression" priority="8" dxfId="17">
      <formula>E$6&gt;DAY(DATE('03_Roster'!$D$5,'03_Roster'!$B$5+1,0))</formula>
    </cfRule>
  </conditionalFormatting>
  <conditionalFormatting sqref="F7:F27">
    <cfRule type="expression" priority="9" dxfId="17">
      <formula>F$6&gt;DAY(DATE('03_Roster'!$D$5,'03_Roster'!$B$5+1,0))</formula>
    </cfRule>
  </conditionalFormatting>
  <conditionalFormatting sqref="G7:G27">
    <cfRule type="expression" priority="10" dxfId="17">
      <formula>G$6&gt;DAY(DATE('03_Roster'!$D$5,'03_Roster'!$B$5+1,0))</formula>
    </cfRule>
  </conditionalFormatting>
  <conditionalFormatting sqref="H7:H27">
    <cfRule type="expression" priority="11" dxfId="17">
      <formula>H$6&gt;DAY(DATE('03_Roster'!$D$5,'03_Roster'!$B$5+1,0))</formula>
    </cfRule>
  </conditionalFormatting>
  <conditionalFormatting sqref="I7:I27">
    <cfRule type="expression" priority="12" dxfId="17">
      <formula>I$6&gt;DAY(DATE('03_Roster'!$D$5,'03_Roster'!$B$5+1,0))</formula>
    </cfRule>
  </conditionalFormatting>
  <conditionalFormatting sqref="J7:J27">
    <cfRule type="expression" priority="13" dxfId="17">
      <formula>J$6&gt;DAY(DATE('03_Roster'!$D$5,'03_Roster'!$B$5+1,0))</formula>
    </cfRule>
  </conditionalFormatting>
  <conditionalFormatting sqref="K7:K27">
    <cfRule type="expression" priority="14" dxfId="17">
      <formula>K$6&gt;DAY(DATE('03_Roster'!$D$5,'03_Roster'!$B$5+1,0))</formula>
    </cfRule>
  </conditionalFormatting>
  <dataValidations count="1">
    <dataValidation sqref="E8 E9 E10 E11 E12 E13 E14 E15 E16 E17 E18 E19 E20 E21 E22 E23 E24 E25 E26 E27 F8 F9 F10 F11 F12 F13 F14 F15 F16 F17 F18 F19 F20 F21 F22 F23 F24 F25 F26 F27 G8 G9 G10 G11 G12 G13 G14 G15 G16 G17 G18 G19 G20 G21 G22 G23 G24 G25 G26 G27 H8 H9 H10 H11 H12 H13 H14 H15 H16 H17 H18 H19 H20 H21 H22 H23 H24 H25 H26 H27 I8 I9 I10 I11 I12 I13 I14 I15 I16 I17 I18 I19 I20 I21 I22 I23 I24 I25 I26 I27 J8 J9 J10 J11 J12 J13 J14 J15 J16 J17 J18 J19 J20 J21 J22 J23 J24 J25 J26 J27 K8 K9 K10 K11 K12 K13 K14 K15 K16 K17 K18 K19 K20 K21 K22 K23 K24 K25 K26 K27" showDropDown="0" showInputMessage="0" showErrorMessage="0" allowBlank="1" promptTitle="Week 4 shift" prompt="M Morning · E Evening · N Night · WO Off · PH · LV · TR" type="list">
      <formula1>"M,E,N,WO,PH,LV,TR"</formula1>
    </dataValidation>
  </dataValidations>
  <hyperlinks>
    <hyperlink xmlns:r="http://schemas.openxmlformats.org/officeDocument/2006/relationships" ref="B4" r:id="rId1"/>
    <hyperlink xmlns:r="http://schemas.openxmlformats.org/officeDocument/2006/relationships" ref="C4" r:id="rId2"/>
    <hyperlink xmlns:r="http://schemas.openxmlformats.org/officeDocument/2006/relationships" ref="D4" r:id="rId3"/>
    <hyperlink xmlns:r="http://schemas.openxmlformats.org/officeDocument/2006/relationships" ref="E4" r:id="rId4"/>
    <hyperlink xmlns:r="http://schemas.openxmlformats.org/officeDocument/2006/relationships" ref="F4" r:id="rId5"/>
    <hyperlink xmlns:r="http://schemas.openxmlformats.org/officeDocument/2006/relationships" ref="G4" r:id="rId6"/>
  </hyperlinks>
  <pageMargins left="0.4" right="0.4" top="0.5" bottom="0.5" header="0.2" footer="0.2"/>
  <pageSetup orientation="landscape" paperSize="9" fitToHeight="0" fitToWidth="1"/>
</worksheet>
</file>

<file path=xl/worksheets/sheet9.xml><?xml version="1.0" encoding="utf-8"?>
<worksheet xmlns="http://schemas.openxmlformats.org/spreadsheetml/2006/main">
  <sheetPr>
    <tabColor rgb="00B78103"/>
    <outlinePr summaryBelow="1" summaryRight="1"/>
    <pageSetUpPr fitToPage="1"/>
  </sheetPr>
  <dimension ref="A1:L28"/>
  <sheetViews>
    <sheetView showGridLines="0" zoomScale="90" workbookViewId="0">
      <pane xSplit="4" ySplit="7" topLeftCell="E8"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6" customWidth="1" min="3" max="3"/>
    <col width="22" customWidth="1" min="4" max="4"/>
    <col width="8" customWidth="1" min="5" max="5"/>
    <col width="8" customWidth="1" min="6" max="6"/>
    <col width="8" customWidth="1" min="7" max="7"/>
    <col width="18" customWidth="1" min="8" max="8"/>
    <col width="28" customWidth="1" min="9" max="9"/>
  </cols>
  <sheetData>
    <row r="1" ht="16" customHeight="1">
      <c r="A1" s="1" t="inlineStr">
        <is>
          <t>PATHCARE DIAGNOSTICS  ·  Pathology Laboratory</t>
        </is>
      </c>
      <c r="B1" s="2" t="n"/>
      <c r="C1" s="2" t="n"/>
      <c r="D1" s="2" t="n"/>
      <c r="E1" s="2" t="n"/>
      <c r="F1" s="2" t="n"/>
      <c r="G1" s="2" t="n"/>
      <c r="H1" s="2" t="n"/>
      <c r="I1" s="2" t="n"/>
    </row>
    <row r="2" ht="26" customHeight="1">
      <c r="A2" s="3" t="inlineStr">
        <is>
          <t>WEEK 5 ROSTER  ·  Days 29–31</t>
        </is>
      </c>
      <c r="B2" s="2" t="n"/>
      <c r="C2" s="2" t="n"/>
      <c r="D2" s="2" t="n"/>
      <c r="E2" s="2" t="n"/>
      <c r="F2" s="2" t="n"/>
      <c r="G2" s="2" t="n"/>
      <c r="H2" s="2" t="n"/>
      <c r="I2" s="2" t="n"/>
    </row>
    <row r="3" ht="18" customHeight="1">
      <c r="A3" s="4" t="inlineStr">
        <is>
          <t>Edit shifts here  ·  Syncs to Full Month automatically  ·  Period = Roster Month/Year</t>
        </is>
      </c>
      <c r="B3" s="2" t="n"/>
      <c r="C3" s="2" t="n"/>
      <c r="D3" s="2" t="n"/>
      <c r="E3" s="2" t="n"/>
      <c r="F3" s="2" t="n"/>
      <c r="G3" s="2" t="n"/>
      <c r="H3" s="2" t="n"/>
      <c r="I3" s="2" t="n"/>
    </row>
    <row r="4" ht="22" customHeight="1">
      <c r="A4" s="7" t="inlineStr">
        <is>
          <t>GO →</t>
        </is>
      </c>
      <c r="B4" s="50" t="inlineStr">
        <is>
          <t>Full Month</t>
        </is>
      </c>
      <c r="C4" s="51" t="inlineStr">
        <is>
          <t>▶ W1</t>
        </is>
      </c>
      <c r="D4" s="52" t="inlineStr">
        <is>
          <t>▶ W2</t>
        </is>
      </c>
      <c r="E4" s="53" t="inlineStr">
        <is>
          <t>▶ W3</t>
        </is>
      </c>
      <c r="F4" s="54" t="inlineStr">
        <is>
          <t>▶ W4</t>
        </is>
      </c>
      <c r="G4" s="55" t="inlineStr">
        <is>
          <t>● W5</t>
        </is>
      </c>
      <c r="H4" s="68" t="inlineStr">
        <is>
          <t>You are on Week 5  |  Drop-down: M E N WO PH LV TR</t>
        </is>
      </c>
    </row>
    <row r="5">
      <c r="A5" s="29" t="inlineStr">
        <is>
          <t>Month</t>
        </is>
      </c>
      <c r="B5" s="28">
        <f>'03_Roster'!B5</f>
        <v/>
      </c>
      <c r="C5" s="29" t="inlineStr">
        <is>
          <t>Year</t>
        </is>
      </c>
      <c r="D5" s="28">
        <f>'03_Roster'!D5</f>
        <v/>
      </c>
    </row>
    <row r="6">
      <c r="A6" s="29" t="inlineStr">
        <is>
          <t>Emp ID</t>
        </is>
      </c>
      <c r="B6" s="29" t="inlineStr">
        <is>
          <t>Employee Name</t>
        </is>
      </c>
      <c r="C6" s="29" t="inlineStr">
        <is>
          <t>Department</t>
        </is>
      </c>
      <c r="D6" s="29" t="inlineStr">
        <is>
          <t>Designation</t>
        </is>
      </c>
      <c r="E6" s="74" t="n">
        <v>29</v>
      </c>
      <c r="F6" s="74" t="n">
        <v>30</v>
      </c>
      <c r="G6" s="74" t="n">
        <v>31</v>
      </c>
      <c r="H6" s="57" t="inlineStr">
        <is>
          <t>Backup</t>
        </is>
      </c>
      <c r="I6" s="57" t="inlineStr">
        <is>
          <t>Week notes</t>
        </is>
      </c>
    </row>
    <row r="7">
      <c r="A7" s="13" t="n"/>
      <c r="B7" s="13" t="n"/>
      <c r="C7" s="13" t="n"/>
      <c r="D7" s="13" t="n"/>
      <c r="E7" s="58">
        <f>IF(E$6&gt;DAY(DATE('03_Roster'!$D$5,'03_Roster'!$B$5+1,0)),"",TEXT(DATE('03_Roster'!$D$5,'03_Roster'!$B$5,E$6),"DDD"))</f>
        <v/>
      </c>
      <c r="F7" s="58">
        <f>IF(F$6&gt;DAY(DATE('03_Roster'!$D$5,'03_Roster'!$B$5+1,0)),"",TEXT(DATE('03_Roster'!$D$5,'03_Roster'!$B$5,F$6),"DDD"))</f>
        <v/>
      </c>
      <c r="G7" s="58">
        <f>IF(G$6&gt;DAY(DATE('03_Roster'!$D$5,'03_Roster'!$B$5+1,0)),"",TEXT(DATE('03_Roster'!$D$5,'03_Roster'!$B$5,G$6),"DDD"))</f>
        <v/>
      </c>
      <c r="H7" s="13" t="n"/>
      <c r="I7" s="13" t="n"/>
    </row>
    <row r="8" ht="20" customHeight="1">
      <c r="A8" s="30">
        <f>'02_Employee_Master'!A6</f>
        <v/>
      </c>
      <c r="B8" s="9">
        <f>'02_Employee_Master'!B6</f>
        <v/>
      </c>
      <c r="C8" s="9">
        <f>'02_Employee_Master'!D6</f>
        <v/>
      </c>
      <c r="D8" s="9">
        <f>'02_Employee_Master'!C6</f>
        <v/>
      </c>
      <c r="E8" s="69" t="inlineStr">
        <is>
          <t>M</t>
        </is>
      </c>
      <c r="F8" s="69" t="inlineStr">
        <is>
          <t>M</t>
        </is>
      </c>
      <c r="G8" s="69" t="inlineStr"/>
      <c r="H8" s="30" t="inlineStr">
        <is>
          <t>Vikram Singh</t>
        </is>
      </c>
      <c r="I8" s="30" t="inlineStr"/>
    </row>
    <row r="9" ht="20" customHeight="1">
      <c r="A9" s="33">
        <f>'02_Employee_Master'!A7</f>
        <v/>
      </c>
      <c r="B9" s="11">
        <f>'02_Employee_Master'!B7</f>
        <v/>
      </c>
      <c r="C9" s="11">
        <f>'02_Employee_Master'!D7</f>
        <v/>
      </c>
      <c r="D9" s="11">
        <f>'02_Employee_Master'!C7</f>
        <v/>
      </c>
      <c r="E9" s="70" t="inlineStr">
        <is>
          <t>E</t>
        </is>
      </c>
      <c r="F9" s="70" t="inlineStr">
        <is>
          <t>WO</t>
        </is>
      </c>
      <c r="G9" s="70" t="inlineStr"/>
      <c r="H9" s="33" t="inlineStr"/>
      <c r="I9" s="33" t="inlineStr"/>
    </row>
    <row r="10" ht="20" customHeight="1">
      <c r="A10" s="30">
        <f>'02_Employee_Master'!A8</f>
        <v/>
      </c>
      <c r="B10" s="9">
        <f>'02_Employee_Master'!B8</f>
        <v/>
      </c>
      <c r="C10" s="9">
        <f>'02_Employee_Master'!D8</f>
        <v/>
      </c>
      <c r="D10" s="9">
        <f>'02_Employee_Master'!C8</f>
        <v/>
      </c>
      <c r="E10" s="69" t="inlineStr">
        <is>
          <t>N</t>
        </is>
      </c>
      <c r="F10" s="69" t="inlineStr">
        <is>
          <t>M</t>
        </is>
      </c>
      <c r="G10" s="69" t="inlineStr"/>
      <c r="H10" s="30" t="inlineStr"/>
      <c r="I10" s="30" t="inlineStr"/>
    </row>
    <row r="11" ht="20" customHeight="1">
      <c r="A11" s="33">
        <f>'02_Employee_Master'!A9</f>
        <v/>
      </c>
      <c r="B11" s="11">
        <f>'02_Employee_Master'!B9</f>
        <v/>
      </c>
      <c r="C11" s="11">
        <f>'02_Employee_Master'!D9</f>
        <v/>
      </c>
      <c r="D11" s="11">
        <f>'02_Employee_Master'!C9</f>
        <v/>
      </c>
      <c r="E11" s="70" t="inlineStr">
        <is>
          <t>M</t>
        </is>
      </c>
      <c r="F11" s="70" t="inlineStr">
        <is>
          <t>M</t>
        </is>
      </c>
      <c r="G11" s="70" t="inlineStr"/>
      <c r="H11" s="33" t="inlineStr"/>
      <c r="I11" s="33" t="inlineStr"/>
    </row>
    <row r="12" ht="20" customHeight="1">
      <c r="A12" s="30">
        <f>'02_Employee_Master'!A10</f>
        <v/>
      </c>
      <c r="B12" s="9">
        <f>'02_Employee_Master'!B10</f>
        <v/>
      </c>
      <c r="C12" s="9">
        <f>'02_Employee_Master'!D10</f>
        <v/>
      </c>
      <c r="D12" s="9">
        <f>'02_Employee_Master'!C10</f>
        <v/>
      </c>
      <c r="E12" s="69" t="inlineStr">
        <is>
          <t>WO</t>
        </is>
      </c>
      <c r="F12" s="69" t="inlineStr">
        <is>
          <t>M</t>
        </is>
      </c>
      <c r="G12" s="69" t="inlineStr"/>
      <c r="H12" s="30" t="inlineStr"/>
      <c r="I12" s="30" t="inlineStr"/>
    </row>
    <row r="13" ht="20" customHeight="1">
      <c r="A13" s="33">
        <f>'02_Employee_Master'!A11</f>
        <v/>
      </c>
      <c r="B13" s="11">
        <f>'02_Employee_Master'!B11</f>
        <v/>
      </c>
      <c r="C13" s="11">
        <f>'02_Employee_Master'!D11</f>
        <v/>
      </c>
      <c r="D13" s="11">
        <f>'02_Employee_Master'!C11</f>
        <v/>
      </c>
      <c r="E13" s="70" t="inlineStr">
        <is>
          <t>M</t>
        </is>
      </c>
      <c r="F13" s="70" t="inlineStr">
        <is>
          <t>E</t>
        </is>
      </c>
      <c r="G13" s="70" t="inlineStr"/>
      <c r="H13" s="33" t="inlineStr"/>
      <c r="I13" s="33" t="inlineStr"/>
    </row>
    <row r="14" ht="20" customHeight="1">
      <c r="A14" s="30">
        <f>'02_Employee_Master'!A12</f>
        <v/>
      </c>
      <c r="B14" s="9">
        <f>'02_Employee_Master'!B12</f>
        <v/>
      </c>
      <c r="C14" s="9">
        <f>'02_Employee_Master'!D12</f>
        <v/>
      </c>
      <c r="D14" s="9">
        <f>'02_Employee_Master'!C12</f>
        <v/>
      </c>
      <c r="E14" s="69" t="inlineStr">
        <is>
          <t>M</t>
        </is>
      </c>
      <c r="F14" s="69" t="inlineStr">
        <is>
          <t>E</t>
        </is>
      </c>
      <c r="G14" s="69" t="inlineStr"/>
      <c r="H14" s="30" t="inlineStr">
        <is>
          <t>Karan Malhotra</t>
        </is>
      </c>
      <c r="I14" s="30" t="inlineStr"/>
    </row>
    <row r="15" ht="20" customHeight="1">
      <c r="A15" s="33">
        <f>'02_Employee_Master'!A13</f>
        <v/>
      </c>
      <c r="B15" s="11">
        <f>'02_Employee_Master'!B13</f>
        <v/>
      </c>
      <c r="C15" s="11">
        <f>'02_Employee_Master'!D13</f>
        <v/>
      </c>
      <c r="D15" s="11">
        <f>'02_Employee_Master'!C13</f>
        <v/>
      </c>
      <c r="E15" s="70" t="inlineStr">
        <is>
          <t>M</t>
        </is>
      </c>
      <c r="F15" s="70" t="inlineStr">
        <is>
          <t>M</t>
        </is>
      </c>
      <c r="G15" s="70" t="inlineStr"/>
      <c r="H15" s="33" t="inlineStr"/>
      <c r="I15" s="33" t="inlineStr"/>
    </row>
    <row r="16" ht="20" customHeight="1">
      <c r="A16" s="30">
        <f>'02_Employee_Master'!A14</f>
        <v/>
      </c>
      <c r="B16" s="9">
        <f>'02_Employee_Master'!B14</f>
        <v/>
      </c>
      <c r="C16" s="9">
        <f>'02_Employee_Master'!D14</f>
        <v/>
      </c>
      <c r="D16" s="9">
        <f>'02_Employee_Master'!C14</f>
        <v/>
      </c>
      <c r="E16" s="69" t="inlineStr">
        <is>
          <t>M</t>
        </is>
      </c>
      <c r="F16" s="69" t="inlineStr">
        <is>
          <t>WO</t>
        </is>
      </c>
      <c r="G16" s="69" t="inlineStr"/>
      <c r="H16" s="30" t="inlineStr"/>
      <c r="I16" s="30" t="inlineStr"/>
    </row>
    <row r="17" ht="20" customHeight="1">
      <c r="A17" s="33">
        <f>'02_Employee_Master'!A15</f>
        <v/>
      </c>
      <c r="B17" s="11">
        <f>'02_Employee_Master'!B15</f>
        <v/>
      </c>
      <c r="C17" s="11">
        <f>'02_Employee_Master'!D15</f>
        <v/>
      </c>
      <c r="D17" s="11">
        <f>'02_Employee_Master'!C15</f>
        <v/>
      </c>
      <c r="E17" s="70" t="inlineStr">
        <is>
          <t>M</t>
        </is>
      </c>
      <c r="F17" s="70" t="inlineStr">
        <is>
          <t>E</t>
        </is>
      </c>
      <c r="G17" s="70" t="inlineStr"/>
      <c r="H17" s="33" t="inlineStr"/>
      <c r="I17" s="33" t="inlineStr"/>
    </row>
    <row r="18" ht="20" customHeight="1">
      <c r="A18" s="30">
        <f>'02_Employee_Master'!A16</f>
        <v/>
      </c>
      <c r="B18" s="9">
        <f>'02_Employee_Master'!B16</f>
        <v/>
      </c>
      <c r="C18" s="9">
        <f>'02_Employee_Master'!D16</f>
        <v/>
      </c>
      <c r="D18" s="9">
        <f>'02_Employee_Master'!C16</f>
        <v/>
      </c>
      <c r="E18" s="69" t="inlineStr">
        <is>
          <t>M</t>
        </is>
      </c>
      <c r="F18" s="69" t="inlineStr">
        <is>
          <t>M</t>
        </is>
      </c>
      <c r="G18" s="69" t="inlineStr"/>
      <c r="H18" s="30" t="inlineStr"/>
      <c r="I18" s="30" t="inlineStr"/>
    </row>
    <row r="19" ht="20" customHeight="1">
      <c r="A19" s="33">
        <f>'02_Employee_Master'!A17</f>
        <v/>
      </c>
      <c r="B19" s="11">
        <f>'02_Employee_Master'!B17</f>
        <v/>
      </c>
      <c r="C19" s="11">
        <f>'02_Employee_Master'!D17</f>
        <v/>
      </c>
      <c r="D19" s="11">
        <f>'02_Employee_Master'!C17</f>
        <v/>
      </c>
      <c r="E19" s="70" t="inlineStr">
        <is>
          <t>WO</t>
        </is>
      </c>
      <c r="F19" s="70" t="inlineStr">
        <is>
          <t>M</t>
        </is>
      </c>
      <c r="G19" s="70" t="inlineStr"/>
      <c r="H19" s="33" t="inlineStr"/>
      <c r="I19" s="33" t="inlineStr"/>
    </row>
    <row r="20" ht="20" customHeight="1">
      <c r="A20" s="30">
        <f>'02_Employee_Master'!A18</f>
        <v/>
      </c>
      <c r="B20" s="9">
        <f>'02_Employee_Master'!B18</f>
        <v/>
      </c>
      <c r="C20" s="9">
        <f>'02_Employee_Master'!D18</f>
        <v/>
      </c>
      <c r="D20" s="9">
        <f>'02_Employee_Master'!C18</f>
        <v/>
      </c>
      <c r="E20" s="69" t="inlineStr">
        <is>
          <t>M</t>
        </is>
      </c>
      <c r="F20" s="69" t="inlineStr">
        <is>
          <t>M</t>
        </is>
      </c>
      <c r="G20" s="69" t="inlineStr"/>
      <c r="H20" s="30" t="inlineStr">
        <is>
          <t>Deepak Joshi</t>
        </is>
      </c>
      <c r="I20" s="30" t="inlineStr"/>
    </row>
    <row r="21" ht="20" customHeight="1">
      <c r="A21" s="33">
        <f>'02_Employee_Master'!A19</f>
        <v/>
      </c>
      <c r="B21" s="11">
        <f>'02_Employee_Master'!B19</f>
        <v/>
      </c>
      <c r="C21" s="11">
        <f>'02_Employee_Master'!D19</f>
        <v/>
      </c>
      <c r="D21" s="11">
        <f>'02_Employee_Master'!C19</f>
        <v/>
      </c>
      <c r="E21" s="70" t="inlineStr">
        <is>
          <t>E</t>
        </is>
      </c>
      <c r="F21" s="70" t="inlineStr">
        <is>
          <t>M</t>
        </is>
      </c>
      <c r="G21" s="70" t="inlineStr"/>
      <c r="H21" s="33" t="inlineStr"/>
      <c r="I21" s="33" t="inlineStr"/>
    </row>
    <row r="22" ht="20" customHeight="1">
      <c r="A22" s="30">
        <f>'02_Employee_Master'!A20</f>
        <v/>
      </c>
      <c r="B22" s="9">
        <f>'02_Employee_Master'!B20</f>
        <v/>
      </c>
      <c r="C22" s="9">
        <f>'02_Employee_Master'!D20</f>
        <v/>
      </c>
      <c r="D22" s="9">
        <f>'02_Employee_Master'!C20</f>
        <v/>
      </c>
      <c r="E22" s="69" t="inlineStr">
        <is>
          <t>M</t>
        </is>
      </c>
      <c r="F22" s="69" t="inlineStr">
        <is>
          <t>M</t>
        </is>
      </c>
      <c r="G22" s="69" t="inlineStr"/>
      <c r="H22" s="30" t="inlineStr"/>
      <c r="I22" s="30" t="inlineStr"/>
    </row>
    <row r="23" ht="20" customHeight="1">
      <c r="A23" s="33">
        <f>'02_Employee_Master'!A21</f>
        <v/>
      </c>
      <c r="B23" s="11">
        <f>'02_Employee_Master'!B21</f>
        <v/>
      </c>
      <c r="C23" s="11">
        <f>'02_Employee_Master'!D21</f>
        <v/>
      </c>
      <c r="D23" s="11">
        <f>'02_Employee_Master'!C21</f>
        <v/>
      </c>
      <c r="E23" s="70" t="inlineStr">
        <is>
          <t>M</t>
        </is>
      </c>
      <c r="F23" s="70" t="inlineStr">
        <is>
          <t>WO</t>
        </is>
      </c>
      <c r="G23" s="70" t="inlineStr"/>
      <c r="H23" s="33" t="inlineStr"/>
      <c r="I23" s="33" t="inlineStr"/>
    </row>
    <row r="24" ht="20" customHeight="1">
      <c r="A24" s="30">
        <f>'02_Employee_Master'!A22</f>
        <v/>
      </c>
      <c r="B24" s="9">
        <f>'02_Employee_Master'!B22</f>
        <v/>
      </c>
      <c r="C24" s="9">
        <f>'02_Employee_Master'!D22</f>
        <v/>
      </c>
      <c r="D24" s="9">
        <f>'02_Employee_Master'!C22</f>
        <v/>
      </c>
      <c r="E24" s="69" t="inlineStr">
        <is>
          <t>E</t>
        </is>
      </c>
      <c r="F24" s="69" t="inlineStr">
        <is>
          <t>M</t>
        </is>
      </c>
      <c r="G24" s="69" t="inlineStr"/>
      <c r="H24" s="30" t="inlineStr"/>
      <c r="I24" s="30" t="inlineStr"/>
    </row>
    <row r="25" ht="20" customHeight="1">
      <c r="A25" s="33">
        <f>'02_Employee_Master'!A23</f>
        <v/>
      </c>
      <c r="B25" s="11">
        <f>'02_Employee_Master'!B23</f>
        <v/>
      </c>
      <c r="C25" s="11">
        <f>'02_Employee_Master'!D23</f>
        <v/>
      </c>
      <c r="D25" s="11">
        <f>'02_Employee_Master'!C23</f>
        <v/>
      </c>
      <c r="E25" s="70" t="inlineStr">
        <is>
          <t>M</t>
        </is>
      </c>
      <c r="F25" s="70" t="inlineStr">
        <is>
          <t>M</t>
        </is>
      </c>
      <c r="G25" s="70" t="inlineStr"/>
      <c r="H25" s="33" t="inlineStr"/>
      <c r="I25" s="33" t="inlineStr"/>
    </row>
    <row r="26" ht="20" customHeight="1">
      <c r="A26" s="30">
        <f>'02_Employee_Master'!A24</f>
        <v/>
      </c>
      <c r="B26" s="9">
        <f>'02_Employee_Master'!B24</f>
        <v/>
      </c>
      <c r="C26" s="9">
        <f>'02_Employee_Master'!D24</f>
        <v/>
      </c>
      <c r="D26" s="9">
        <f>'02_Employee_Master'!C24</f>
        <v/>
      </c>
      <c r="E26" s="69" t="inlineStr">
        <is>
          <t>WO</t>
        </is>
      </c>
      <c r="F26" s="69" t="inlineStr">
        <is>
          <t>M</t>
        </is>
      </c>
      <c r="G26" s="69" t="inlineStr"/>
      <c r="H26" s="30" t="inlineStr">
        <is>
          <t>Thomas Mathew</t>
        </is>
      </c>
      <c r="I26" s="30" t="inlineStr"/>
    </row>
    <row r="27" ht="20" customHeight="1">
      <c r="A27" s="33">
        <f>'02_Employee_Master'!A25</f>
        <v/>
      </c>
      <c r="B27" s="11">
        <f>'02_Employee_Master'!B25</f>
        <v/>
      </c>
      <c r="C27" s="11">
        <f>'02_Employee_Master'!D25</f>
        <v/>
      </c>
      <c r="D27" s="11">
        <f>'02_Employee_Master'!C25</f>
        <v/>
      </c>
      <c r="E27" s="70" t="inlineStr"/>
      <c r="F27" s="70" t="inlineStr"/>
      <c r="G27" s="70" t="inlineStr"/>
      <c r="H27" s="33" t="inlineStr"/>
      <c r="I27" s="33" t="inlineStr"/>
    </row>
    <row r="28">
      <c r="A28" s="61" t="inlineStr">
        <is>
          <t>On duty (M+E+N)</t>
        </is>
      </c>
      <c r="B28" s="13" t="n"/>
      <c r="C28" s="13" t="n"/>
      <c r="D28" s="13" t="n"/>
      <c r="E28" s="7">
        <f>COUNTIF(E8:E27,"M")+COUNTIF(E8:E27,"E")+COUNTIF(E8:E27,"N")</f>
        <v/>
      </c>
      <c r="F28" s="7">
        <f>COUNTIF(F8:F27,"M")+COUNTIF(F8:F27,"E")+COUNTIF(F8:F27,"N")</f>
        <v/>
      </c>
      <c r="G28" s="7">
        <f>COUNTIF(G8:G27,"M")+COUNTIF(G8:G27,"E")+COUNTIF(G8:G27,"N")</f>
        <v/>
      </c>
    </row>
  </sheetData>
  <mergeCells count="5">
    <mergeCell ref="A2:I2"/>
    <mergeCell ref="A28:D28"/>
    <mergeCell ref="A1:I1"/>
    <mergeCell ref="A3:I3"/>
    <mergeCell ref="H4:L4"/>
  </mergeCells>
  <conditionalFormatting sqref="E8:G27">
    <cfRule type="cellIs" priority="1" operator="equal" dxfId="10">
      <formula>"M"</formula>
    </cfRule>
    <cfRule type="cellIs" priority="2" operator="equal" dxfId="11">
      <formula>"E"</formula>
    </cfRule>
    <cfRule type="cellIs" priority="3" operator="equal" dxfId="12">
      <formula>"N"</formula>
    </cfRule>
    <cfRule type="cellIs" priority="4" operator="equal" dxfId="13">
      <formula>"WO"</formula>
    </cfRule>
    <cfRule type="cellIs" priority="5" operator="equal" dxfId="14">
      <formula>"PH"</formula>
    </cfRule>
    <cfRule type="cellIs" priority="6" operator="equal" dxfId="15">
      <formula>"LV"</formula>
    </cfRule>
    <cfRule type="cellIs" priority="7" operator="equal" dxfId="16">
      <formula>"TR"</formula>
    </cfRule>
  </conditionalFormatting>
  <conditionalFormatting sqref="E7:E27">
    <cfRule type="expression" priority="8" dxfId="17">
      <formula>E$6&gt;DAY(DATE('03_Roster'!$D$5,'03_Roster'!$B$5+1,0))</formula>
    </cfRule>
  </conditionalFormatting>
  <conditionalFormatting sqref="F7:F27">
    <cfRule type="expression" priority="9" dxfId="17">
      <formula>F$6&gt;DAY(DATE('03_Roster'!$D$5,'03_Roster'!$B$5+1,0))</formula>
    </cfRule>
  </conditionalFormatting>
  <conditionalFormatting sqref="G7:G27">
    <cfRule type="expression" priority="10" dxfId="17">
      <formula>G$6&gt;DAY(DATE('03_Roster'!$D$5,'03_Roster'!$B$5+1,0))</formula>
    </cfRule>
  </conditionalFormatting>
  <dataValidations count="1">
    <dataValidation sqref="E8 E9 E10 E11 E12 E13 E14 E15 E16 E17 E18 E19 E20 E21 E22 E23 E24 E25 E26 E27 F8 F9 F10 F11 F12 F13 F14 F15 F16 F17 F18 F19 F20 F21 F22 F23 F24 F25 F26 F27 G8 G9 G10 G11 G12 G13 G14 G15 G16 G17 G18 G19 G20 G21 G22 G23 G24 G25 G26 G27" showDropDown="0" showInputMessage="0" showErrorMessage="0" allowBlank="1" promptTitle="Week 5 shift" prompt="M Morning · E Evening · N Night · WO Off · PH · LV · TR" type="list">
      <formula1>"M,E,N,WO,PH,LV,TR"</formula1>
    </dataValidation>
  </dataValidations>
  <hyperlinks>
    <hyperlink xmlns:r="http://schemas.openxmlformats.org/officeDocument/2006/relationships" ref="B4" r:id="rId1"/>
    <hyperlink xmlns:r="http://schemas.openxmlformats.org/officeDocument/2006/relationships" ref="C4" r:id="rId2"/>
    <hyperlink xmlns:r="http://schemas.openxmlformats.org/officeDocument/2006/relationships" ref="D4" r:id="rId3"/>
    <hyperlink xmlns:r="http://schemas.openxmlformats.org/officeDocument/2006/relationships" ref="E4" r:id="rId4"/>
    <hyperlink xmlns:r="http://schemas.openxmlformats.org/officeDocument/2006/relationships" ref="F4" r:id="rId5"/>
    <hyperlink xmlns:r="http://schemas.openxmlformats.org/officeDocument/2006/relationships" ref="G4" r:id="rId6"/>
  </hyperlinks>
  <pageMargins left="0.4" right="0.4" top="0.5" bottom="0.5" header="0.2" footer="0.2"/>
  <pageSetup orientation="landscape" paperSize="9" fitToHeight="0" fitToWidth="1"/>
</worksheet>
</file>

<file path=xl/worksheets/sheet10.xml><?xml version="1.0" encoding="utf-8"?>
<worksheet xmlns="http://schemas.openxmlformats.org/spreadsheetml/2006/main">
  <sheetPr>
    <tabColor rgb="001B7A4E"/>
    <outlinePr summaryBelow="1" summaryRight="1"/>
    <pageSetUpPr fitToPage="1"/>
  </sheetPr>
  <dimension ref="A1:AQ28"/>
  <sheetViews>
    <sheetView showGridLines="0" zoomScale="90" workbookViewId="0">
      <pane xSplit="4" ySplit="7" topLeftCell="E8"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6" customWidth="1" min="3" max="3"/>
    <col width="22"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8" customWidth="1" min="43" max="43"/>
  </cols>
  <sheetData>
    <row r="1" ht="16" customHeight="1">
      <c r="A1" s="1" t="inlineStr">
        <is>
          <t>PATHCARE DIAGNOSTICS  ·  Pathology Laboratory</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row>
    <row r="2" ht="26" customHeight="1">
      <c r="A2" s="3" t="inlineStr">
        <is>
          <t>DAILY ATTENDANCE REGISTER</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row>
    <row r="3" ht="18" customHeight="1">
      <c r="A3" s="4" t="inlineStr">
        <is>
          <t>Period follows Roster Month/Year  ·  Clear marks when month changes  ·  Color-coded statuses</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row>
    <row r="5">
      <c r="A5" s="5" t="inlineStr">
        <is>
          <t>Period</t>
        </is>
      </c>
      <c r="B5" s="75">
        <f>'03_Roster'!B5</f>
        <v/>
      </c>
      <c r="C5" s="75">
        <f>'03_Roster'!D5</f>
        <v/>
      </c>
      <c r="D5" s="76">
        <f>DATE(C5,B5,1)</f>
        <v/>
      </c>
      <c r="E5" s="68" t="inlineStr">
        <is>
          <t>Legend: P Present · A Absent · L Late · HD Half Day · WFO Work From Office · PL/UL/VL/SL Leave · H Holiday · WO Off · OT Overtime  |  Grey = invalid day for month</t>
        </is>
      </c>
    </row>
    <row r="6">
      <c r="A6" s="29" t="inlineStr">
        <is>
          <t>Emp ID</t>
        </is>
      </c>
      <c r="B6" s="29" t="inlineStr">
        <is>
          <t>Employee Name</t>
        </is>
      </c>
      <c r="C6" s="29" t="inlineStr">
        <is>
          <t>Department</t>
        </is>
      </c>
      <c r="D6" s="29" t="inlineStr">
        <is>
          <t>Designation</t>
        </is>
      </c>
      <c r="E6" s="7" t="n">
        <v>1</v>
      </c>
      <c r="F6" s="7" t="n">
        <v>2</v>
      </c>
      <c r="G6" s="7" t="n">
        <v>3</v>
      </c>
      <c r="H6" s="7" t="n">
        <v>4</v>
      </c>
      <c r="I6" s="7" t="n">
        <v>5</v>
      </c>
      <c r="J6" s="7" t="n">
        <v>6</v>
      </c>
      <c r="K6" s="7" t="n">
        <v>7</v>
      </c>
      <c r="L6" s="7" t="n">
        <v>8</v>
      </c>
      <c r="M6" s="7" t="n">
        <v>9</v>
      </c>
      <c r="N6" s="7" t="n">
        <v>10</v>
      </c>
      <c r="O6" s="7" t="n">
        <v>11</v>
      </c>
      <c r="P6" s="7" t="n">
        <v>12</v>
      </c>
      <c r="Q6" s="7" t="n">
        <v>13</v>
      </c>
      <c r="R6" s="7" t="n">
        <v>14</v>
      </c>
      <c r="S6" s="7" t="n">
        <v>15</v>
      </c>
      <c r="T6" s="7" t="n">
        <v>16</v>
      </c>
      <c r="U6" s="7" t="n">
        <v>17</v>
      </c>
      <c r="V6" s="7" t="n">
        <v>18</v>
      </c>
      <c r="W6" s="7" t="n">
        <v>19</v>
      </c>
      <c r="X6" s="7" t="n">
        <v>20</v>
      </c>
      <c r="Y6" s="7" t="n">
        <v>21</v>
      </c>
      <c r="Z6" s="7" t="n">
        <v>22</v>
      </c>
      <c r="AA6" s="7" t="n">
        <v>23</v>
      </c>
      <c r="AB6" s="7" t="n">
        <v>24</v>
      </c>
      <c r="AC6" s="7" t="n">
        <v>25</v>
      </c>
      <c r="AD6" s="7" t="n">
        <v>26</v>
      </c>
      <c r="AE6" s="7" t="n">
        <v>27</v>
      </c>
      <c r="AF6" s="7" t="n">
        <v>28</v>
      </c>
      <c r="AG6" s="7" t="n">
        <v>29</v>
      </c>
      <c r="AH6" s="7" t="n">
        <v>30</v>
      </c>
      <c r="AI6" s="7" t="n">
        <v>31</v>
      </c>
      <c r="AJ6" s="57" t="inlineStr">
        <is>
          <t>Present</t>
        </is>
      </c>
      <c r="AK6" s="57" t="inlineStr">
        <is>
          <t>Absent</t>
        </is>
      </c>
      <c r="AL6" s="57" t="inlineStr">
        <is>
          <t>Late</t>
        </is>
      </c>
      <c r="AM6" s="57" t="inlineStr">
        <is>
          <t>Half Day</t>
        </is>
      </c>
      <c r="AN6" s="57" t="inlineStr">
        <is>
          <t>Leave</t>
        </is>
      </c>
      <c r="AO6" s="57" t="inlineStr">
        <is>
          <t>WO/H</t>
        </is>
      </c>
      <c r="AP6" s="57" t="inlineStr">
        <is>
          <t>OT Hrs</t>
        </is>
      </c>
      <c r="AQ6" s="57" t="inlineStr">
        <is>
          <t>Att %</t>
        </is>
      </c>
    </row>
    <row r="7">
      <c r="A7" s="13" t="n"/>
      <c r="B7" s="13" t="n"/>
      <c r="C7" s="13" t="n"/>
      <c r="D7" s="13" t="n"/>
      <c r="E7" s="58">
        <f>IF(E$6&gt;DAY(DATE('03_Roster'!$D$5,'03_Roster'!$B$5+1,0)),"",TEXT(DATE('03_Roster'!$D$5,'03_Roster'!$B$5,E$6),"DDD"))</f>
        <v/>
      </c>
      <c r="F7" s="58">
        <f>IF(F$6&gt;DAY(DATE('03_Roster'!$D$5,'03_Roster'!$B$5+1,0)),"",TEXT(DATE('03_Roster'!$D$5,'03_Roster'!$B$5,F$6),"DDD"))</f>
        <v/>
      </c>
      <c r="G7" s="58">
        <f>IF(G$6&gt;DAY(DATE('03_Roster'!$D$5,'03_Roster'!$B$5+1,0)),"",TEXT(DATE('03_Roster'!$D$5,'03_Roster'!$B$5,G$6),"DDD"))</f>
        <v/>
      </c>
      <c r="H7" s="58">
        <f>IF(H$6&gt;DAY(DATE('03_Roster'!$D$5,'03_Roster'!$B$5+1,0)),"",TEXT(DATE('03_Roster'!$D$5,'03_Roster'!$B$5,H$6),"DDD"))</f>
        <v/>
      </c>
      <c r="I7" s="58">
        <f>IF(I$6&gt;DAY(DATE('03_Roster'!$D$5,'03_Roster'!$B$5+1,0)),"",TEXT(DATE('03_Roster'!$D$5,'03_Roster'!$B$5,I$6),"DDD"))</f>
        <v/>
      </c>
      <c r="J7" s="58">
        <f>IF(J$6&gt;DAY(DATE('03_Roster'!$D$5,'03_Roster'!$B$5+1,0)),"",TEXT(DATE('03_Roster'!$D$5,'03_Roster'!$B$5,J$6),"DDD"))</f>
        <v/>
      </c>
      <c r="K7" s="58">
        <f>IF(K$6&gt;DAY(DATE('03_Roster'!$D$5,'03_Roster'!$B$5+1,0)),"",TEXT(DATE('03_Roster'!$D$5,'03_Roster'!$B$5,K$6),"DDD"))</f>
        <v/>
      </c>
      <c r="L7" s="58">
        <f>IF(L$6&gt;DAY(DATE('03_Roster'!$D$5,'03_Roster'!$B$5+1,0)),"",TEXT(DATE('03_Roster'!$D$5,'03_Roster'!$B$5,L$6),"DDD"))</f>
        <v/>
      </c>
      <c r="M7" s="58">
        <f>IF(M$6&gt;DAY(DATE('03_Roster'!$D$5,'03_Roster'!$B$5+1,0)),"",TEXT(DATE('03_Roster'!$D$5,'03_Roster'!$B$5,M$6),"DDD"))</f>
        <v/>
      </c>
      <c r="N7" s="58">
        <f>IF(N$6&gt;DAY(DATE('03_Roster'!$D$5,'03_Roster'!$B$5+1,0)),"",TEXT(DATE('03_Roster'!$D$5,'03_Roster'!$B$5,N$6),"DDD"))</f>
        <v/>
      </c>
      <c r="O7" s="58">
        <f>IF(O$6&gt;DAY(DATE('03_Roster'!$D$5,'03_Roster'!$B$5+1,0)),"",TEXT(DATE('03_Roster'!$D$5,'03_Roster'!$B$5,O$6),"DDD"))</f>
        <v/>
      </c>
      <c r="P7" s="58">
        <f>IF(P$6&gt;DAY(DATE('03_Roster'!$D$5,'03_Roster'!$B$5+1,0)),"",TEXT(DATE('03_Roster'!$D$5,'03_Roster'!$B$5,P$6),"DDD"))</f>
        <v/>
      </c>
      <c r="Q7" s="58">
        <f>IF(Q$6&gt;DAY(DATE('03_Roster'!$D$5,'03_Roster'!$B$5+1,0)),"",TEXT(DATE('03_Roster'!$D$5,'03_Roster'!$B$5,Q$6),"DDD"))</f>
        <v/>
      </c>
      <c r="R7" s="58">
        <f>IF(R$6&gt;DAY(DATE('03_Roster'!$D$5,'03_Roster'!$B$5+1,0)),"",TEXT(DATE('03_Roster'!$D$5,'03_Roster'!$B$5,R$6),"DDD"))</f>
        <v/>
      </c>
      <c r="S7" s="58">
        <f>IF(S$6&gt;DAY(DATE('03_Roster'!$D$5,'03_Roster'!$B$5+1,0)),"",TEXT(DATE('03_Roster'!$D$5,'03_Roster'!$B$5,S$6),"DDD"))</f>
        <v/>
      </c>
      <c r="T7" s="58">
        <f>IF(T$6&gt;DAY(DATE('03_Roster'!$D$5,'03_Roster'!$B$5+1,0)),"",TEXT(DATE('03_Roster'!$D$5,'03_Roster'!$B$5,T$6),"DDD"))</f>
        <v/>
      </c>
      <c r="U7" s="58">
        <f>IF(U$6&gt;DAY(DATE('03_Roster'!$D$5,'03_Roster'!$B$5+1,0)),"",TEXT(DATE('03_Roster'!$D$5,'03_Roster'!$B$5,U$6),"DDD"))</f>
        <v/>
      </c>
      <c r="V7" s="58">
        <f>IF(V$6&gt;DAY(DATE('03_Roster'!$D$5,'03_Roster'!$B$5+1,0)),"",TEXT(DATE('03_Roster'!$D$5,'03_Roster'!$B$5,V$6),"DDD"))</f>
        <v/>
      </c>
      <c r="W7" s="58">
        <f>IF(W$6&gt;DAY(DATE('03_Roster'!$D$5,'03_Roster'!$B$5+1,0)),"",TEXT(DATE('03_Roster'!$D$5,'03_Roster'!$B$5,W$6),"DDD"))</f>
        <v/>
      </c>
      <c r="X7" s="58">
        <f>IF(X$6&gt;DAY(DATE('03_Roster'!$D$5,'03_Roster'!$B$5+1,0)),"",TEXT(DATE('03_Roster'!$D$5,'03_Roster'!$B$5,X$6),"DDD"))</f>
        <v/>
      </c>
      <c r="Y7" s="58">
        <f>IF(Y$6&gt;DAY(DATE('03_Roster'!$D$5,'03_Roster'!$B$5+1,0)),"",TEXT(DATE('03_Roster'!$D$5,'03_Roster'!$B$5,Y$6),"DDD"))</f>
        <v/>
      </c>
      <c r="Z7" s="58">
        <f>IF(Z$6&gt;DAY(DATE('03_Roster'!$D$5,'03_Roster'!$B$5+1,0)),"",TEXT(DATE('03_Roster'!$D$5,'03_Roster'!$B$5,Z$6),"DDD"))</f>
        <v/>
      </c>
      <c r="AA7" s="58">
        <f>IF(AA$6&gt;DAY(DATE('03_Roster'!$D$5,'03_Roster'!$B$5+1,0)),"",TEXT(DATE('03_Roster'!$D$5,'03_Roster'!$B$5,AA$6),"DDD"))</f>
        <v/>
      </c>
      <c r="AB7" s="58">
        <f>IF(AB$6&gt;DAY(DATE('03_Roster'!$D$5,'03_Roster'!$B$5+1,0)),"",TEXT(DATE('03_Roster'!$D$5,'03_Roster'!$B$5,AB$6),"DDD"))</f>
        <v/>
      </c>
      <c r="AC7" s="58">
        <f>IF(AC$6&gt;DAY(DATE('03_Roster'!$D$5,'03_Roster'!$B$5+1,0)),"",TEXT(DATE('03_Roster'!$D$5,'03_Roster'!$B$5,AC$6),"DDD"))</f>
        <v/>
      </c>
      <c r="AD7" s="58">
        <f>IF(AD$6&gt;DAY(DATE('03_Roster'!$D$5,'03_Roster'!$B$5+1,0)),"",TEXT(DATE('03_Roster'!$D$5,'03_Roster'!$B$5,AD$6),"DDD"))</f>
        <v/>
      </c>
      <c r="AE7" s="58">
        <f>IF(AE$6&gt;DAY(DATE('03_Roster'!$D$5,'03_Roster'!$B$5+1,0)),"",TEXT(DATE('03_Roster'!$D$5,'03_Roster'!$B$5,AE$6),"DDD"))</f>
        <v/>
      </c>
      <c r="AF7" s="58">
        <f>IF(AF$6&gt;DAY(DATE('03_Roster'!$D$5,'03_Roster'!$B$5+1,0)),"",TEXT(DATE('03_Roster'!$D$5,'03_Roster'!$B$5,AF$6),"DDD"))</f>
        <v/>
      </c>
      <c r="AG7" s="58">
        <f>IF(AG$6&gt;DAY(DATE('03_Roster'!$D$5,'03_Roster'!$B$5+1,0)),"",TEXT(DATE('03_Roster'!$D$5,'03_Roster'!$B$5,AG$6),"DDD"))</f>
        <v/>
      </c>
      <c r="AH7" s="58">
        <f>IF(AH$6&gt;DAY(DATE('03_Roster'!$D$5,'03_Roster'!$B$5+1,0)),"",TEXT(DATE('03_Roster'!$D$5,'03_Roster'!$B$5,AH$6),"DDD"))</f>
        <v/>
      </c>
      <c r="AI7" s="58">
        <f>IF(AI$6&gt;DAY(DATE('03_Roster'!$D$5,'03_Roster'!$B$5+1,0)),"",TEXT(DATE('03_Roster'!$D$5,'03_Roster'!$B$5,AI$6),"DDD"))</f>
        <v/>
      </c>
      <c r="AJ7" s="13" t="n"/>
      <c r="AK7" s="13" t="n"/>
      <c r="AL7" s="13" t="n"/>
      <c r="AM7" s="13" t="n"/>
      <c r="AN7" s="13" t="n"/>
      <c r="AO7" s="13" t="n"/>
      <c r="AP7" s="13" t="n"/>
      <c r="AQ7" s="13" t="n"/>
    </row>
    <row r="8" ht="18" customHeight="1">
      <c r="A8" s="30">
        <f>'02_Employee_Master'!A6</f>
        <v/>
      </c>
      <c r="B8" s="9">
        <f>'02_Employee_Master'!B6</f>
        <v/>
      </c>
      <c r="C8" s="9">
        <f>'02_Employee_Master'!D6</f>
        <v/>
      </c>
      <c r="D8" s="9">
        <f>'02_Employee_Master'!C6</f>
        <v/>
      </c>
      <c r="E8" s="77" t="inlineStr">
        <is>
          <t>P</t>
        </is>
      </c>
      <c r="F8" s="77" t="inlineStr">
        <is>
          <t>P</t>
        </is>
      </c>
      <c r="G8" s="77" t="inlineStr">
        <is>
          <t>P</t>
        </is>
      </c>
      <c r="H8" s="77" t="inlineStr">
        <is>
          <t>P</t>
        </is>
      </c>
      <c r="I8" s="77" t="inlineStr">
        <is>
          <t>P</t>
        </is>
      </c>
      <c r="J8" s="77" t="inlineStr">
        <is>
          <t>SL</t>
        </is>
      </c>
      <c r="K8" s="77" t="inlineStr">
        <is>
          <t>WO</t>
        </is>
      </c>
      <c r="L8" s="77" t="inlineStr">
        <is>
          <t>P</t>
        </is>
      </c>
      <c r="M8" s="77" t="inlineStr">
        <is>
          <t>P</t>
        </is>
      </c>
      <c r="N8" s="77" t="inlineStr">
        <is>
          <t>P</t>
        </is>
      </c>
      <c r="O8" s="77" t="inlineStr">
        <is>
          <t>P</t>
        </is>
      </c>
      <c r="P8" s="77" t="inlineStr">
        <is>
          <t>P</t>
        </is>
      </c>
      <c r="Q8" s="77" t="inlineStr">
        <is>
          <t>P</t>
        </is>
      </c>
      <c r="R8" s="77" t="inlineStr">
        <is>
          <t>WO</t>
        </is>
      </c>
      <c r="S8" s="77" t="inlineStr">
        <is>
          <t>P</t>
        </is>
      </c>
      <c r="T8" s="77" t="inlineStr">
        <is>
          <t>P</t>
        </is>
      </c>
      <c r="U8" s="77" t="inlineStr">
        <is>
          <t>P</t>
        </is>
      </c>
      <c r="V8" s="77" t="inlineStr">
        <is>
          <t>P</t>
        </is>
      </c>
      <c r="W8" s="77" t="inlineStr">
        <is>
          <t>P</t>
        </is>
      </c>
      <c r="X8" s="77" t="inlineStr">
        <is>
          <t>P</t>
        </is>
      </c>
      <c r="Y8" s="77" t="inlineStr">
        <is>
          <t>WO</t>
        </is>
      </c>
      <c r="Z8" s="77" t="inlineStr">
        <is>
          <t>P</t>
        </is>
      </c>
      <c r="AA8" s="77" t="inlineStr">
        <is>
          <t>P</t>
        </is>
      </c>
      <c r="AB8" s="77" t="inlineStr">
        <is>
          <t>P</t>
        </is>
      </c>
      <c r="AC8" s="77" t="inlineStr">
        <is>
          <t>P</t>
        </is>
      </c>
      <c r="AD8" s="77" t="inlineStr">
        <is>
          <t>P</t>
        </is>
      </c>
      <c r="AE8" s="77" t="inlineStr">
        <is>
          <t>P</t>
        </is>
      </c>
      <c r="AF8" s="77" t="inlineStr">
        <is>
          <t>WO</t>
        </is>
      </c>
      <c r="AG8" s="77" t="inlineStr">
        <is>
          <t>A</t>
        </is>
      </c>
      <c r="AH8" s="77" t="inlineStr">
        <is>
          <t>P</t>
        </is>
      </c>
      <c r="AI8" s="77" t="inlineStr"/>
      <c r="AJ8" s="78">
        <f>COUNTIF(E8:AI8,"P")+COUNTIF(E8:AI8,"L")+COUNTIF(E8:AI8,"WFO")+COUNTIF(E8:AI8,"OT")</f>
        <v/>
      </c>
      <c r="AK8" s="78">
        <f>COUNTIF(E8:AI8,"A")</f>
        <v/>
      </c>
      <c r="AL8" s="78">
        <f>COUNTIF(E8:AI8,"L")</f>
        <v/>
      </c>
      <c r="AM8" s="78">
        <f>COUNTIF(E8:AI8,"HD")</f>
        <v/>
      </c>
      <c r="AN8" s="78">
        <f>COUNTIF(E8:AI8,"PL")+COUNTIF(E8:AI8,"UL")+COUNTIF(E8:AI8,"VL")+COUNTIF(E8:AI8,"SL")</f>
        <v/>
      </c>
      <c r="AO8" s="78">
        <f>COUNTIF(E8:AI8,"WO")+COUNTIF(E8:AI8,"H")</f>
        <v/>
      </c>
      <c r="AP8" s="78">
        <f>'03_Roster'!AK8</f>
        <v/>
      </c>
      <c r="AQ8" s="79">
        <f>IFERROR((AJ8+AM8*0.5)/(COUNTA(E8:AI8)-AO8),"")</f>
        <v/>
      </c>
    </row>
    <row r="9" ht="18" customHeight="1">
      <c r="A9" s="33">
        <f>'02_Employee_Master'!A7</f>
        <v/>
      </c>
      <c r="B9" s="11">
        <f>'02_Employee_Master'!B7</f>
        <v/>
      </c>
      <c r="C9" s="11">
        <f>'02_Employee_Master'!D7</f>
        <v/>
      </c>
      <c r="D9" s="11">
        <f>'02_Employee_Master'!C7</f>
        <v/>
      </c>
      <c r="E9" s="80" t="inlineStr">
        <is>
          <t>P</t>
        </is>
      </c>
      <c r="F9" s="80" t="inlineStr">
        <is>
          <t>WO</t>
        </is>
      </c>
      <c r="G9" s="80" t="inlineStr">
        <is>
          <t>P</t>
        </is>
      </c>
      <c r="H9" s="80" t="inlineStr">
        <is>
          <t>HD</t>
        </is>
      </c>
      <c r="I9" s="80" t="inlineStr">
        <is>
          <t>P</t>
        </is>
      </c>
      <c r="J9" s="80" t="inlineStr">
        <is>
          <t>P</t>
        </is>
      </c>
      <c r="K9" s="80" t="inlineStr">
        <is>
          <t>P</t>
        </is>
      </c>
      <c r="L9" s="80" t="inlineStr">
        <is>
          <t>P</t>
        </is>
      </c>
      <c r="M9" s="80" t="inlineStr">
        <is>
          <t>WO</t>
        </is>
      </c>
      <c r="N9" s="80" t="inlineStr">
        <is>
          <t>P</t>
        </is>
      </c>
      <c r="O9" s="80" t="inlineStr">
        <is>
          <t>P</t>
        </is>
      </c>
      <c r="P9" s="80" t="inlineStr">
        <is>
          <t>P</t>
        </is>
      </c>
      <c r="Q9" s="80" t="inlineStr">
        <is>
          <t>P</t>
        </is>
      </c>
      <c r="R9" s="80" t="inlineStr">
        <is>
          <t>P</t>
        </is>
      </c>
      <c r="S9" s="80" t="inlineStr">
        <is>
          <t>P</t>
        </is>
      </c>
      <c r="T9" s="80" t="inlineStr">
        <is>
          <t>WO</t>
        </is>
      </c>
      <c r="U9" s="80" t="inlineStr">
        <is>
          <t>P</t>
        </is>
      </c>
      <c r="V9" s="80" t="inlineStr">
        <is>
          <t>P</t>
        </is>
      </c>
      <c r="W9" s="80" t="inlineStr">
        <is>
          <t>P</t>
        </is>
      </c>
      <c r="X9" s="80" t="inlineStr">
        <is>
          <t>P</t>
        </is>
      </c>
      <c r="Y9" s="80" t="inlineStr">
        <is>
          <t>P</t>
        </is>
      </c>
      <c r="Z9" s="80" t="inlineStr">
        <is>
          <t>P</t>
        </is>
      </c>
      <c r="AA9" s="80" t="inlineStr">
        <is>
          <t>WO</t>
        </is>
      </c>
      <c r="AB9" s="80" t="inlineStr">
        <is>
          <t>P</t>
        </is>
      </c>
      <c r="AC9" s="80" t="inlineStr">
        <is>
          <t>P</t>
        </is>
      </c>
      <c r="AD9" s="80" t="inlineStr">
        <is>
          <t>P</t>
        </is>
      </c>
      <c r="AE9" s="80" t="inlineStr">
        <is>
          <t>P</t>
        </is>
      </c>
      <c r="AF9" s="80" t="inlineStr">
        <is>
          <t>P</t>
        </is>
      </c>
      <c r="AG9" s="80" t="inlineStr">
        <is>
          <t>P</t>
        </is>
      </c>
      <c r="AH9" s="80" t="inlineStr">
        <is>
          <t>WO</t>
        </is>
      </c>
      <c r="AI9" s="80" t="inlineStr"/>
      <c r="AJ9" s="81">
        <f>COUNTIF(E9:AI9,"P")+COUNTIF(E9:AI9,"L")+COUNTIF(E9:AI9,"WFO")+COUNTIF(E9:AI9,"OT")</f>
        <v/>
      </c>
      <c r="AK9" s="81">
        <f>COUNTIF(E9:AI9,"A")</f>
        <v/>
      </c>
      <c r="AL9" s="81">
        <f>COUNTIF(E9:AI9,"L")</f>
        <v/>
      </c>
      <c r="AM9" s="81">
        <f>COUNTIF(E9:AI9,"HD")</f>
        <v/>
      </c>
      <c r="AN9" s="81">
        <f>COUNTIF(E9:AI9,"PL")+COUNTIF(E9:AI9,"UL")+COUNTIF(E9:AI9,"VL")+COUNTIF(E9:AI9,"SL")</f>
        <v/>
      </c>
      <c r="AO9" s="81">
        <f>COUNTIF(E9:AI9,"WO")+COUNTIF(E9:AI9,"H")</f>
        <v/>
      </c>
      <c r="AP9" s="81">
        <f>'03_Roster'!AK9</f>
        <v/>
      </c>
      <c r="AQ9" s="82">
        <f>IFERROR((AJ9+AM9*0.5)/(COUNTA(E9:AI9)-AO9),"")</f>
        <v/>
      </c>
    </row>
    <row r="10" ht="18" customHeight="1">
      <c r="A10" s="30">
        <f>'02_Employee_Master'!A8</f>
        <v/>
      </c>
      <c r="B10" s="9">
        <f>'02_Employee_Master'!B8</f>
        <v/>
      </c>
      <c r="C10" s="9">
        <f>'02_Employee_Master'!D8</f>
        <v/>
      </c>
      <c r="D10" s="9">
        <f>'02_Employee_Master'!C8</f>
        <v/>
      </c>
      <c r="E10" s="77" t="inlineStr">
        <is>
          <t>P</t>
        </is>
      </c>
      <c r="F10" s="77" t="inlineStr">
        <is>
          <t>P</t>
        </is>
      </c>
      <c r="G10" s="77" t="inlineStr">
        <is>
          <t>P</t>
        </is>
      </c>
      <c r="H10" s="77" t="inlineStr">
        <is>
          <t>WO</t>
        </is>
      </c>
      <c r="I10" s="77" t="inlineStr">
        <is>
          <t>P</t>
        </is>
      </c>
      <c r="J10" s="77" t="inlineStr">
        <is>
          <t>P</t>
        </is>
      </c>
      <c r="K10" s="77" t="inlineStr">
        <is>
          <t>P</t>
        </is>
      </c>
      <c r="L10" s="77" t="inlineStr">
        <is>
          <t>P</t>
        </is>
      </c>
      <c r="M10" s="77" t="inlineStr">
        <is>
          <t>P</t>
        </is>
      </c>
      <c r="N10" s="77" t="inlineStr">
        <is>
          <t>P</t>
        </is>
      </c>
      <c r="O10" s="77" t="inlineStr">
        <is>
          <t>WO</t>
        </is>
      </c>
      <c r="P10" s="77" t="inlineStr">
        <is>
          <t>P</t>
        </is>
      </c>
      <c r="Q10" s="77" t="inlineStr">
        <is>
          <t>P</t>
        </is>
      </c>
      <c r="R10" s="77" t="inlineStr">
        <is>
          <t>P</t>
        </is>
      </c>
      <c r="S10" s="77" t="inlineStr">
        <is>
          <t>P</t>
        </is>
      </c>
      <c r="T10" s="77" t="inlineStr">
        <is>
          <t>P</t>
        </is>
      </c>
      <c r="U10" s="77" t="inlineStr">
        <is>
          <t>P</t>
        </is>
      </c>
      <c r="V10" s="77" t="inlineStr">
        <is>
          <t>WO</t>
        </is>
      </c>
      <c r="W10" s="77" t="inlineStr">
        <is>
          <t>P</t>
        </is>
      </c>
      <c r="X10" s="77" t="inlineStr">
        <is>
          <t>P</t>
        </is>
      </c>
      <c r="Y10" s="77" t="inlineStr">
        <is>
          <t>P</t>
        </is>
      </c>
      <c r="Z10" s="77" t="inlineStr">
        <is>
          <t>P</t>
        </is>
      </c>
      <c r="AA10" s="77" t="inlineStr">
        <is>
          <t>P</t>
        </is>
      </c>
      <c r="AB10" s="77" t="inlineStr">
        <is>
          <t>P</t>
        </is>
      </c>
      <c r="AC10" s="77" t="inlineStr">
        <is>
          <t>WO</t>
        </is>
      </c>
      <c r="AD10" s="77" t="inlineStr">
        <is>
          <t>P</t>
        </is>
      </c>
      <c r="AE10" s="77" t="inlineStr">
        <is>
          <t>P</t>
        </is>
      </c>
      <c r="AF10" s="77" t="inlineStr">
        <is>
          <t>P</t>
        </is>
      </c>
      <c r="AG10" s="77" t="inlineStr">
        <is>
          <t>P</t>
        </is>
      </c>
      <c r="AH10" s="77" t="inlineStr">
        <is>
          <t>P</t>
        </is>
      </c>
      <c r="AI10" s="77" t="inlineStr"/>
      <c r="AJ10" s="78">
        <f>COUNTIF(E10:AI10,"P")+COUNTIF(E10:AI10,"L")+COUNTIF(E10:AI10,"WFO")+COUNTIF(E10:AI10,"OT")</f>
        <v/>
      </c>
      <c r="AK10" s="78">
        <f>COUNTIF(E10:AI10,"A")</f>
        <v/>
      </c>
      <c r="AL10" s="78">
        <f>COUNTIF(E10:AI10,"L")</f>
        <v/>
      </c>
      <c r="AM10" s="78">
        <f>COUNTIF(E10:AI10,"HD")</f>
        <v/>
      </c>
      <c r="AN10" s="78">
        <f>COUNTIF(E10:AI10,"PL")+COUNTIF(E10:AI10,"UL")+COUNTIF(E10:AI10,"VL")+COUNTIF(E10:AI10,"SL")</f>
        <v/>
      </c>
      <c r="AO10" s="78">
        <f>COUNTIF(E10:AI10,"WO")+COUNTIF(E10:AI10,"H")</f>
        <v/>
      </c>
      <c r="AP10" s="78">
        <f>'03_Roster'!AK10</f>
        <v/>
      </c>
      <c r="AQ10" s="79">
        <f>IFERROR((AJ10+AM10*0.5)/(COUNTA(E10:AI10)-AO10),"")</f>
        <v/>
      </c>
    </row>
    <row r="11" ht="18" customHeight="1">
      <c r="A11" s="33">
        <f>'02_Employee_Master'!A9</f>
        <v/>
      </c>
      <c r="B11" s="11">
        <f>'02_Employee_Master'!B9</f>
        <v/>
      </c>
      <c r="C11" s="11">
        <f>'02_Employee_Master'!D9</f>
        <v/>
      </c>
      <c r="D11" s="11">
        <f>'02_Employee_Master'!C9</f>
        <v/>
      </c>
      <c r="E11" s="80" t="inlineStr">
        <is>
          <t>P</t>
        </is>
      </c>
      <c r="F11" s="80" t="inlineStr">
        <is>
          <t>P</t>
        </is>
      </c>
      <c r="G11" s="80" t="inlineStr">
        <is>
          <t>P</t>
        </is>
      </c>
      <c r="H11" s="80" t="inlineStr">
        <is>
          <t>P</t>
        </is>
      </c>
      <c r="I11" s="80" t="inlineStr">
        <is>
          <t>P</t>
        </is>
      </c>
      <c r="J11" s="80" t="inlineStr">
        <is>
          <t>WO</t>
        </is>
      </c>
      <c r="K11" s="80" t="inlineStr">
        <is>
          <t>P</t>
        </is>
      </c>
      <c r="L11" s="80" t="inlineStr">
        <is>
          <t>P</t>
        </is>
      </c>
      <c r="M11" s="80" t="inlineStr">
        <is>
          <t>P</t>
        </is>
      </c>
      <c r="N11" s="80" t="inlineStr">
        <is>
          <t>P</t>
        </is>
      </c>
      <c r="O11" s="80" t="inlineStr">
        <is>
          <t>P</t>
        </is>
      </c>
      <c r="P11" s="80" t="inlineStr">
        <is>
          <t>P</t>
        </is>
      </c>
      <c r="Q11" s="80" t="inlineStr">
        <is>
          <t>WO</t>
        </is>
      </c>
      <c r="R11" s="80" t="inlineStr">
        <is>
          <t>P</t>
        </is>
      </c>
      <c r="S11" s="80" t="inlineStr">
        <is>
          <t>P</t>
        </is>
      </c>
      <c r="T11" s="80" t="inlineStr">
        <is>
          <t>P</t>
        </is>
      </c>
      <c r="U11" s="80" t="inlineStr">
        <is>
          <t>P</t>
        </is>
      </c>
      <c r="V11" s="80" t="inlineStr">
        <is>
          <t>P</t>
        </is>
      </c>
      <c r="W11" s="80" t="inlineStr">
        <is>
          <t>P</t>
        </is>
      </c>
      <c r="X11" s="80" t="inlineStr">
        <is>
          <t>WO</t>
        </is>
      </c>
      <c r="Y11" s="80" t="inlineStr">
        <is>
          <t>P</t>
        </is>
      </c>
      <c r="Z11" s="80" t="inlineStr">
        <is>
          <t>P</t>
        </is>
      </c>
      <c r="AA11" s="80" t="inlineStr">
        <is>
          <t>P</t>
        </is>
      </c>
      <c r="AB11" s="80" t="inlineStr">
        <is>
          <t>P</t>
        </is>
      </c>
      <c r="AC11" s="80" t="inlineStr">
        <is>
          <t>P</t>
        </is>
      </c>
      <c r="AD11" s="80" t="inlineStr">
        <is>
          <t>P</t>
        </is>
      </c>
      <c r="AE11" s="80" t="inlineStr">
        <is>
          <t>WO</t>
        </is>
      </c>
      <c r="AF11" s="80" t="inlineStr">
        <is>
          <t>P</t>
        </is>
      </c>
      <c r="AG11" s="80" t="inlineStr">
        <is>
          <t>P</t>
        </is>
      </c>
      <c r="AH11" s="80" t="inlineStr">
        <is>
          <t>P</t>
        </is>
      </c>
      <c r="AI11" s="80" t="inlineStr"/>
      <c r="AJ11" s="81">
        <f>COUNTIF(E11:AI11,"P")+COUNTIF(E11:AI11,"L")+COUNTIF(E11:AI11,"WFO")+COUNTIF(E11:AI11,"OT")</f>
        <v/>
      </c>
      <c r="AK11" s="81">
        <f>COUNTIF(E11:AI11,"A")</f>
        <v/>
      </c>
      <c r="AL11" s="81">
        <f>COUNTIF(E11:AI11,"L")</f>
        <v/>
      </c>
      <c r="AM11" s="81">
        <f>COUNTIF(E11:AI11,"HD")</f>
        <v/>
      </c>
      <c r="AN11" s="81">
        <f>COUNTIF(E11:AI11,"PL")+COUNTIF(E11:AI11,"UL")+COUNTIF(E11:AI11,"VL")+COUNTIF(E11:AI11,"SL")</f>
        <v/>
      </c>
      <c r="AO11" s="81">
        <f>COUNTIF(E11:AI11,"WO")+COUNTIF(E11:AI11,"H")</f>
        <v/>
      </c>
      <c r="AP11" s="81">
        <f>'03_Roster'!AK11</f>
        <v/>
      </c>
      <c r="AQ11" s="82">
        <f>IFERROR((AJ11+AM11*0.5)/(COUNTA(E11:AI11)-AO11),"")</f>
        <v/>
      </c>
    </row>
    <row r="12" ht="18" customHeight="1">
      <c r="A12" s="30">
        <f>'02_Employee_Master'!A10</f>
        <v/>
      </c>
      <c r="B12" s="9">
        <f>'02_Employee_Master'!B10</f>
        <v/>
      </c>
      <c r="C12" s="9">
        <f>'02_Employee_Master'!D10</f>
        <v/>
      </c>
      <c r="D12" s="9">
        <f>'02_Employee_Master'!C10</f>
        <v/>
      </c>
      <c r="E12" s="77" t="inlineStr">
        <is>
          <t>WO</t>
        </is>
      </c>
      <c r="F12" s="77" t="inlineStr">
        <is>
          <t>P</t>
        </is>
      </c>
      <c r="G12" s="77" t="inlineStr">
        <is>
          <t>P</t>
        </is>
      </c>
      <c r="H12" s="77" t="inlineStr">
        <is>
          <t>P</t>
        </is>
      </c>
      <c r="I12" s="77" t="inlineStr">
        <is>
          <t>P</t>
        </is>
      </c>
      <c r="J12" s="77" t="inlineStr">
        <is>
          <t>P</t>
        </is>
      </c>
      <c r="K12" s="77" t="inlineStr">
        <is>
          <t>P</t>
        </is>
      </c>
      <c r="L12" s="77" t="inlineStr">
        <is>
          <t>WO</t>
        </is>
      </c>
      <c r="M12" s="77" t="inlineStr">
        <is>
          <t>P</t>
        </is>
      </c>
      <c r="N12" s="77" t="inlineStr">
        <is>
          <t>P</t>
        </is>
      </c>
      <c r="O12" s="77" t="inlineStr">
        <is>
          <t>P</t>
        </is>
      </c>
      <c r="P12" s="77" t="inlineStr">
        <is>
          <t>P</t>
        </is>
      </c>
      <c r="Q12" s="77" t="inlineStr">
        <is>
          <t>P</t>
        </is>
      </c>
      <c r="R12" s="77" t="inlineStr">
        <is>
          <t>P</t>
        </is>
      </c>
      <c r="S12" s="77" t="inlineStr">
        <is>
          <t>WO</t>
        </is>
      </c>
      <c r="T12" s="77" t="inlineStr">
        <is>
          <t>P</t>
        </is>
      </c>
      <c r="U12" s="77" t="inlineStr">
        <is>
          <t>P</t>
        </is>
      </c>
      <c r="V12" s="77" t="inlineStr">
        <is>
          <t>P</t>
        </is>
      </c>
      <c r="W12" s="77" t="inlineStr">
        <is>
          <t>P</t>
        </is>
      </c>
      <c r="X12" s="77" t="inlineStr">
        <is>
          <t>P</t>
        </is>
      </c>
      <c r="Y12" s="77" t="inlineStr">
        <is>
          <t>P</t>
        </is>
      </c>
      <c r="Z12" s="77" t="inlineStr">
        <is>
          <t>WO</t>
        </is>
      </c>
      <c r="AA12" s="77" t="inlineStr">
        <is>
          <t>P</t>
        </is>
      </c>
      <c r="AB12" s="77" t="inlineStr">
        <is>
          <t>P</t>
        </is>
      </c>
      <c r="AC12" s="77" t="inlineStr">
        <is>
          <t>P</t>
        </is>
      </c>
      <c r="AD12" s="77" t="inlineStr">
        <is>
          <t>P</t>
        </is>
      </c>
      <c r="AE12" s="77" t="inlineStr">
        <is>
          <t>L</t>
        </is>
      </c>
      <c r="AF12" s="77" t="inlineStr">
        <is>
          <t>P</t>
        </is>
      </c>
      <c r="AG12" s="77" t="inlineStr">
        <is>
          <t>WO</t>
        </is>
      </c>
      <c r="AH12" s="77" t="inlineStr">
        <is>
          <t>P</t>
        </is>
      </c>
      <c r="AI12" s="77" t="inlineStr"/>
      <c r="AJ12" s="78">
        <f>COUNTIF(E12:AI12,"P")+COUNTIF(E12:AI12,"L")+COUNTIF(E12:AI12,"WFO")+COUNTIF(E12:AI12,"OT")</f>
        <v/>
      </c>
      <c r="AK12" s="78">
        <f>COUNTIF(E12:AI12,"A")</f>
        <v/>
      </c>
      <c r="AL12" s="78">
        <f>COUNTIF(E12:AI12,"L")</f>
        <v/>
      </c>
      <c r="AM12" s="78">
        <f>COUNTIF(E12:AI12,"HD")</f>
        <v/>
      </c>
      <c r="AN12" s="78">
        <f>COUNTIF(E12:AI12,"PL")+COUNTIF(E12:AI12,"UL")+COUNTIF(E12:AI12,"VL")+COUNTIF(E12:AI12,"SL")</f>
        <v/>
      </c>
      <c r="AO12" s="78">
        <f>COUNTIF(E12:AI12,"WO")+COUNTIF(E12:AI12,"H")</f>
        <v/>
      </c>
      <c r="AP12" s="78">
        <f>'03_Roster'!AK12</f>
        <v/>
      </c>
      <c r="AQ12" s="79">
        <f>IFERROR((AJ12+AM12*0.5)/(COUNTA(E12:AI12)-AO12),"")</f>
        <v/>
      </c>
    </row>
    <row r="13" ht="18" customHeight="1">
      <c r="A13" s="33">
        <f>'02_Employee_Master'!A11</f>
        <v/>
      </c>
      <c r="B13" s="11">
        <f>'02_Employee_Master'!B11</f>
        <v/>
      </c>
      <c r="C13" s="11">
        <f>'02_Employee_Master'!D11</f>
        <v/>
      </c>
      <c r="D13" s="11">
        <f>'02_Employee_Master'!C11</f>
        <v/>
      </c>
      <c r="E13" s="80" t="inlineStr">
        <is>
          <t>P</t>
        </is>
      </c>
      <c r="F13" s="80" t="inlineStr">
        <is>
          <t>P</t>
        </is>
      </c>
      <c r="G13" s="80" t="inlineStr">
        <is>
          <t>WO</t>
        </is>
      </c>
      <c r="H13" s="80" t="inlineStr">
        <is>
          <t>P</t>
        </is>
      </c>
      <c r="I13" s="80" t="inlineStr">
        <is>
          <t>P</t>
        </is>
      </c>
      <c r="J13" s="80" t="inlineStr">
        <is>
          <t>P</t>
        </is>
      </c>
      <c r="K13" s="80" t="inlineStr">
        <is>
          <t>P</t>
        </is>
      </c>
      <c r="L13" s="80" t="inlineStr">
        <is>
          <t>P</t>
        </is>
      </c>
      <c r="M13" s="80" t="inlineStr">
        <is>
          <t>P</t>
        </is>
      </c>
      <c r="N13" s="80" t="inlineStr">
        <is>
          <t>WO</t>
        </is>
      </c>
      <c r="O13" s="80" t="inlineStr">
        <is>
          <t>P</t>
        </is>
      </c>
      <c r="P13" s="80" t="inlineStr">
        <is>
          <t>P</t>
        </is>
      </c>
      <c r="Q13" s="80" t="inlineStr">
        <is>
          <t>P</t>
        </is>
      </c>
      <c r="R13" s="80" t="inlineStr">
        <is>
          <t>P</t>
        </is>
      </c>
      <c r="S13" s="80" t="inlineStr">
        <is>
          <t>P</t>
        </is>
      </c>
      <c r="T13" s="80" t="inlineStr">
        <is>
          <t>P</t>
        </is>
      </c>
      <c r="U13" s="80" t="inlineStr">
        <is>
          <t>WO</t>
        </is>
      </c>
      <c r="V13" s="80" t="inlineStr">
        <is>
          <t>P</t>
        </is>
      </c>
      <c r="W13" s="80" t="inlineStr">
        <is>
          <t>P</t>
        </is>
      </c>
      <c r="X13" s="80" t="inlineStr">
        <is>
          <t>P</t>
        </is>
      </c>
      <c r="Y13" s="80" t="inlineStr">
        <is>
          <t>P</t>
        </is>
      </c>
      <c r="Z13" s="80" t="inlineStr">
        <is>
          <t>P</t>
        </is>
      </c>
      <c r="AA13" s="80" t="inlineStr">
        <is>
          <t>P</t>
        </is>
      </c>
      <c r="AB13" s="80" t="inlineStr">
        <is>
          <t>WO</t>
        </is>
      </c>
      <c r="AC13" s="80" t="inlineStr">
        <is>
          <t>P</t>
        </is>
      </c>
      <c r="AD13" s="80" t="inlineStr">
        <is>
          <t>P</t>
        </is>
      </c>
      <c r="AE13" s="80" t="inlineStr">
        <is>
          <t>P</t>
        </is>
      </c>
      <c r="AF13" s="80" t="inlineStr">
        <is>
          <t>P</t>
        </is>
      </c>
      <c r="AG13" s="80" t="inlineStr">
        <is>
          <t>P</t>
        </is>
      </c>
      <c r="AH13" s="80" t="inlineStr">
        <is>
          <t>P</t>
        </is>
      </c>
      <c r="AI13" s="80" t="inlineStr"/>
      <c r="AJ13" s="81">
        <f>COUNTIF(E13:AI13,"P")+COUNTIF(E13:AI13,"L")+COUNTIF(E13:AI13,"WFO")+COUNTIF(E13:AI13,"OT")</f>
        <v/>
      </c>
      <c r="AK13" s="81">
        <f>COUNTIF(E13:AI13,"A")</f>
        <v/>
      </c>
      <c r="AL13" s="81">
        <f>COUNTIF(E13:AI13,"L")</f>
        <v/>
      </c>
      <c r="AM13" s="81">
        <f>COUNTIF(E13:AI13,"HD")</f>
        <v/>
      </c>
      <c r="AN13" s="81">
        <f>COUNTIF(E13:AI13,"PL")+COUNTIF(E13:AI13,"UL")+COUNTIF(E13:AI13,"VL")+COUNTIF(E13:AI13,"SL")</f>
        <v/>
      </c>
      <c r="AO13" s="81">
        <f>COUNTIF(E13:AI13,"WO")+COUNTIF(E13:AI13,"H")</f>
        <v/>
      </c>
      <c r="AP13" s="81">
        <f>'03_Roster'!AK13</f>
        <v/>
      </c>
      <c r="AQ13" s="82">
        <f>IFERROR((AJ13+AM13*0.5)/(COUNTA(E13:AI13)-AO13),"")</f>
        <v/>
      </c>
    </row>
    <row r="14" ht="18" customHeight="1">
      <c r="A14" s="30">
        <f>'02_Employee_Master'!A12</f>
        <v/>
      </c>
      <c r="B14" s="9">
        <f>'02_Employee_Master'!B12</f>
        <v/>
      </c>
      <c r="C14" s="9">
        <f>'02_Employee_Master'!D12</f>
        <v/>
      </c>
      <c r="D14" s="9">
        <f>'02_Employee_Master'!C12</f>
        <v/>
      </c>
      <c r="E14" s="77" t="inlineStr">
        <is>
          <t>P</t>
        </is>
      </c>
      <c r="F14" s="77" t="inlineStr">
        <is>
          <t>P</t>
        </is>
      </c>
      <c r="G14" s="77" t="inlineStr">
        <is>
          <t>P</t>
        </is>
      </c>
      <c r="H14" s="77" t="inlineStr">
        <is>
          <t>P</t>
        </is>
      </c>
      <c r="I14" s="77" t="inlineStr">
        <is>
          <t>WO</t>
        </is>
      </c>
      <c r="J14" s="77" t="inlineStr">
        <is>
          <t>P</t>
        </is>
      </c>
      <c r="K14" s="77" t="inlineStr">
        <is>
          <t>P</t>
        </is>
      </c>
      <c r="L14" s="77" t="inlineStr">
        <is>
          <t>P</t>
        </is>
      </c>
      <c r="M14" s="77" t="inlineStr">
        <is>
          <t>P</t>
        </is>
      </c>
      <c r="N14" s="77" t="inlineStr">
        <is>
          <t>P</t>
        </is>
      </c>
      <c r="O14" s="77" t="inlineStr">
        <is>
          <t>P</t>
        </is>
      </c>
      <c r="P14" s="77" t="inlineStr">
        <is>
          <t>WO</t>
        </is>
      </c>
      <c r="Q14" s="77" t="inlineStr">
        <is>
          <t>P</t>
        </is>
      </c>
      <c r="R14" s="77" t="inlineStr">
        <is>
          <t>P</t>
        </is>
      </c>
      <c r="S14" s="77" t="inlineStr">
        <is>
          <t>P</t>
        </is>
      </c>
      <c r="T14" s="77" t="inlineStr">
        <is>
          <t>P</t>
        </is>
      </c>
      <c r="U14" s="77" t="inlineStr">
        <is>
          <t>P</t>
        </is>
      </c>
      <c r="V14" s="77" t="inlineStr">
        <is>
          <t>P</t>
        </is>
      </c>
      <c r="W14" s="77" t="inlineStr">
        <is>
          <t>WO</t>
        </is>
      </c>
      <c r="X14" s="77" t="inlineStr">
        <is>
          <t>P</t>
        </is>
      </c>
      <c r="Y14" s="77" t="inlineStr">
        <is>
          <t>P</t>
        </is>
      </c>
      <c r="Z14" s="77" t="inlineStr">
        <is>
          <t>P</t>
        </is>
      </c>
      <c r="AA14" s="77" t="inlineStr">
        <is>
          <t>P</t>
        </is>
      </c>
      <c r="AB14" s="77" t="inlineStr">
        <is>
          <t>P</t>
        </is>
      </c>
      <c r="AC14" s="77" t="inlineStr">
        <is>
          <t>P</t>
        </is>
      </c>
      <c r="AD14" s="77" t="inlineStr">
        <is>
          <t>WO</t>
        </is>
      </c>
      <c r="AE14" s="77" t="inlineStr">
        <is>
          <t>P</t>
        </is>
      </c>
      <c r="AF14" s="77" t="inlineStr">
        <is>
          <t>P</t>
        </is>
      </c>
      <c r="AG14" s="77" t="inlineStr">
        <is>
          <t>P</t>
        </is>
      </c>
      <c r="AH14" s="77" t="inlineStr">
        <is>
          <t>P</t>
        </is>
      </c>
      <c r="AI14" s="77" t="inlineStr"/>
      <c r="AJ14" s="78">
        <f>COUNTIF(E14:AI14,"P")+COUNTIF(E14:AI14,"L")+COUNTIF(E14:AI14,"WFO")+COUNTIF(E14:AI14,"OT")</f>
        <v/>
      </c>
      <c r="AK14" s="78">
        <f>COUNTIF(E14:AI14,"A")</f>
        <v/>
      </c>
      <c r="AL14" s="78">
        <f>COUNTIF(E14:AI14,"L")</f>
        <v/>
      </c>
      <c r="AM14" s="78">
        <f>COUNTIF(E14:AI14,"HD")</f>
        <v/>
      </c>
      <c r="AN14" s="78">
        <f>COUNTIF(E14:AI14,"PL")+COUNTIF(E14:AI14,"UL")+COUNTIF(E14:AI14,"VL")+COUNTIF(E14:AI14,"SL")</f>
        <v/>
      </c>
      <c r="AO14" s="78">
        <f>COUNTIF(E14:AI14,"WO")+COUNTIF(E14:AI14,"H")</f>
        <v/>
      </c>
      <c r="AP14" s="78">
        <f>'03_Roster'!AK14</f>
        <v/>
      </c>
      <c r="AQ14" s="79">
        <f>IFERROR((AJ14+AM14*0.5)/(COUNTA(E14:AI14)-AO14),"")</f>
        <v/>
      </c>
    </row>
    <row r="15" ht="18" customHeight="1">
      <c r="A15" s="33">
        <f>'02_Employee_Master'!A13</f>
        <v/>
      </c>
      <c r="B15" s="11">
        <f>'02_Employee_Master'!B13</f>
        <v/>
      </c>
      <c r="C15" s="11">
        <f>'02_Employee_Master'!D13</f>
        <v/>
      </c>
      <c r="D15" s="11">
        <f>'02_Employee_Master'!C13</f>
        <v/>
      </c>
      <c r="E15" s="80" t="inlineStr">
        <is>
          <t>P</t>
        </is>
      </c>
      <c r="F15" s="80" t="inlineStr">
        <is>
          <t>P</t>
        </is>
      </c>
      <c r="G15" s="80" t="inlineStr">
        <is>
          <t>P</t>
        </is>
      </c>
      <c r="H15" s="80" t="inlineStr">
        <is>
          <t>P</t>
        </is>
      </c>
      <c r="I15" s="80" t="inlineStr">
        <is>
          <t>P</t>
        </is>
      </c>
      <c r="J15" s="80" t="inlineStr">
        <is>
          <t>P</t>
        </is>
      </c>
      <c r="K15" s="80" t="inlineStr">
        <is>
          <t>WO</t>
        </is>
      </c>
      <c r="L15" s="80" t="inlineStr">
        <is>
          <t>P</t>
        </is>
      </c>
      <c r="M15" s="80" t="inlineStr">
        <is>
          <t>P</t>
        </is>
      </c>
      <c r="N15" s="80" t="inlineStr">
        <is>
          <t>P</t>
        </is>
      </c>
      <c r="O15" s="80" t="inlineStr">
        <is>
          <t>P</t>
        </is>
      </c>
      <c r="P15" s="80" t="inlineStr">
        <is>
          <t>P</t>
        </is>
      </c>
      <c r="Q15" s="80" t="inlineStr">
        <is>
          <t>P</t>
        </is>
      </c>
      <c r="R15" s="80" t="inlineStr">
        <is>
          <t>WO</t>
        </is>
      </c>
      <c r="S15" s="80" t="inlineStr">
        <is>
          <t>P</t>
        </is>
      </c>
      <c r="T15" s="80" t="inlineStr">
        <is>
          <t>P</t>
        </is>
      </c>
      <c r="U15" s="80" t="inlineStr">
        <is>
          <t>P</t>
        </is>
      </c>
      <c r="V15" s="80" t="inlineStr">
        <is>
          <t>P</t>
        </is>
      </c>
      <c r="W15" s="80" t="inlineStr">
        <is>
          <t>P</t>
        </is>
      </c>
      <c r="X15" s="80" t="inlineStr">
        <is>
          <t>P</t>
        </is>
      </c>
      <c r="Y15" s="80" t="inlineStr">
        <is>
          <t>WO</t>
        </is>
      </c>
      <c r="Z15" s="80" t="inlineStr">
        <is>
          <t>P</t>
        </is>
      </c>
      <c r="AA15" s="80" t="inlineStr">
        <is>
          <t>P</t>
        </is>
      </c>
      <c r="AB15" s="80" t="inlineStr">
        <is>
          <t>P</t>
        </is>
      </c>
      <c r="AC15" s="80" t="inlineStr">
        <is>
          <t>P</t>
        </is>
      </c>
      <c r="AD15" s="80" t="inlineStr">
        <is>
          <t>P</t>
        </is>
      </c>
      <c r="AE15" s="80" t="inlineStr">
        <is>
          <t>P</t>
        </is>
      </c>
      <c r="AF15" s="80" t="inlineStr">
        <is>
          <t>WO</t>
        </is>
      </c>
      <c r="AG15" s="80" t="inlineStr">
        <is>
          <t>P</t>
        </is>
      </c>
      <c r="AH15" s="80" t="inlineStr">
        <is>
          <t>P</t>
        </is>
      </c>
      <c r="AI15" s="80" t="inlineStr"/>
      <c r="AJ15" s="81">
        <f>COUNTIF(E15:AI15,"P")+COUNTIF(E15:AI15,"L")+COUNTIF(E15:AI15,"WFO")+COUNTIF(E15:AI15,"OT")</f>
        <v/>
      </c>
      <c r="AK15" s="81">
        <f>COUNTIF(E15:AI15,"A")</f>
        <v/>
      </c>
      <c r="AL15" s="81">
        <f>COUNTIF(E15:AI15,"L")</f>
        <v/>
      </c>
      <c r="AM15" s="81">
        <f>COUNTIF(E15:AI15,"HD")</f>
        <v/>
      </c>
      <c r="AN15" s="81">
        <f>COUNTIF(E15:AI15,"PL")+COUNTIF(E15:AI15,"UL")+COUNTIF(E15:AI15,"VL")+COUNTIF(E15:AI15,"SL")</f>
        <v/>
      </c>
      <c r="AO15" s="81">
        <f>COUNTIF(E15:AI15,"WO")+COUNTIF(E15:AI15,"H")</f>
        <v/>
      </c>
      <c r="AP15" s="81">
        <f>'03_Roster'!AK15</f>
        <v/>
      </c>
      <c r="AQ15" s="82">
        <f>IFERROR((AJ15+AM15*0.5)/(COUNTA(E15:AI15)-AO15),"")</f>
        <v/>
      </c>
    </row>
    <row r="16" ht="18" customHeight="1">
      <c r="A16" s="30">
        <f>'02_Employee_Master'!A14</f>
        <v/>
      </c>
      <c r="B16" s="9">
        <f>'02_Employee_Master'!B14</f>
        <v/>
      </c>
      <c r="C16" s="9">
        <f>'02_Employee_Master'!D14</f>
        <v/>
      </c>
      <c r="D16" s="9">
        <f>'02_Employee_Master'!C14</f>
        <v/>
      </c>
      <c r="E16" s="77" t="inlineStr">
        <is>
          <t>P</t>
        </is>
      </c>
      <c r="F16" s="77" t="inlineStr">
        <is>
          <t>WO</t>
        </is>
      </c>
      <c r="G16" s="77" t="inlineStr">
        <is>
          <t>P</t>
        </is>
      </c>
      <c r="H16" s="77" t="inlineStr">
        <is>
          <t>P</t>
        </is>
      </c>
      <c r="I16" s="77" t="inlineStr">
        <is>
          <t>P</t>
        </is>
      </c>
      <c r="J16" s="77" t="inlineStr">
        <is>
          <t>P</t>
        </is>
      </c>
      <c r="K16" s="77" t="inlineStr">
        <is>
          <t>P</t>
        </is>
      </c>
      <c r="L16" s="77" t="inlineStr">
        <is>
          <t>P</t>
        </is>
      </c>
      <c r="M16" s="77" t="inlineStr">
        <is>
          <t>WO</t>
        </is>
      </c>
      <c r="N16" s="77" t="inlineStr">
        <is>
          <t>P</t>
        </is>
      </c>
      <c r="O16" s="77" t="inlineStr">
        <is>
          <t>P</t>
        </is>
      </c>
      <c r="P16" s="77" t="inlineStr">
        <is>
          <t>P</t>
        </is>
      </c>
      <c r="Q16" s="77" t="inlineStr">
        <is>
          <t>P</t>
        </is>
      </c>
      <c r="R16" s="77" t="inlineStr">
        <is>
          <t>L</t>
        </is>
      </c>
      <c r="S16" s="77" t="inlineStr">
        <is>
          <t>P</t>
        </is>
      </c>
      <c r="T16" s="77" t="inlineStr">
        <is>
          <t>WO</t>
        </is>
      </c>
      <c r="U16" s="77" t="inlineStr">
        <is>
          <t>P</t>
        </is>
      </c>
      <c r="V16" s="77" t="inlineStr">
        <is>
          <t>P</t>
        </is>
      </c>
      <c r="W16" s="77" t="inlineStr">
        <is>
          <t>P</t>
        </is>
      </c>
      <c r="X16" s="77" t="inlineStr">
        <is>
          <t>P</t>
        </is>
      </c>
      <c r="Y16" s="77" t="inlineStr">
        <is>
          <t>P</t>
        </is>
      </c>
      <c r="Z16" s="77" t="inlineStr">
        <is>
          <t>P</t>
        </is>
      </c>
      <c r="AA16" s="77" t="inlineStr">
        <is>
          <t>WO</t>
        </is>
      </c>
      <c r="AB16" s="77" t="inlineStr">
        <is>
          <t>P</t>
        </is>
      </c>
      <c r="AC16" s="77" t="inlineStr">
        <is>
          <t>P</t>
        </is>
      </c>
      <c r="AD16" s="77" t="inlineStr">
        <is>
          <t>P</t>
        </is>
      </c>
      <c r="AE16" s="77" t="inlineStr">
        <is>
          <t>P</t>
        </is>
      </c>
      <c r="AF16" s="77" t="inlineStr">
        <is>
          <t>P</t>
        </is>
      </c>
      <c r="AG16" s="77" t="inlineStr">
        <is>
          <t>P</t>
        </is>
      </c>
      <c r="AH16" s="77" t="inlineStr">
        <is>
          <t>WO</t>
        </is>
      </c>
      <c r="AI16" s="77" t="inlineStr"/>
      <c r="AJ16" s="78">
        <f>COUNTIF(E16:AI16,"P")+COUNTIF(E16:AI16,"L")+COUNTIF(E16:AI16,"WFO")+COUNTIF(E16:AI16,"OT")</f>
        <v/>
      </c>
      <c r="AK16" s="78">
        <f>COUNTIF(E16:AI16,"A")</f>
        <v/>
      </c>
      <c r="AL16" s="78">
        <f>COUNTIF(E16:AI16,"L")</f>
        <v/>
      </c>
      <c r="AM16" s="78">
        <f>COUNTIF(E16:AI16,"HD")</f>
        <v/>
      </c>
      <c r="AN16" s="78">
        <f>COUNTIF(E16:AI16,"PL")+COUNTIF(E16:AI16,"UL")+COUNTIF(E16:AI16,"VL")+COUNTIF(E16:AI16,"SL")</f>
        <v/>
      </c>
      <c r="AO16" s="78">
        <f>COUNTIF(E16:AI16,"WO")+COUNTIF(E16:AI16,"H")</f>
        <v/>
      </c>
      <c r="AP16" s="78">
        <f>'03_Roster'!AK16</f>
        <v/>
      </c>
      <c r="AQ16" s="79">
        <f>IFERROR((AJ16+AM16*0.5)/(COUNTA(E16:AI16)-AO16),"")</f>
        <v/>
      </c>
    </row>
    <row r="17" ht="18" customHeight="1">
      <c r="A17" s="33">
        <f>'02_Employee_Master'!A15</f>
        <v/>
      </c>
      <c r="B17" s="11">
        <f>'02_Employee_Master'!B15</f>
        <v/>
      </c>
      <c r="C17" s="11">
        <f>'02_Employee_Master'!D15</f>
        <v/>
      </c>
      <c r="D17" s="11">
        <f>'02_Employee_Master'!C15</f>
        <v/>
      </c>
      <c r="E17" s="80" t="inlineStr">
        <is>
          <t>P</t>
        </is>
      </c>
      <c r="F17" s="80" t="inlineStr">
        <is>
          <t>P</t>
        </is>
      </c>
      <c r="G17" s="80" t="inlineStr">
        <is>
          <t>P</t>
        </is>
      </c>
      <c r="H17" s="80" t="inlineStr">
        <is>
          <t>WO</t>
        </is>
      </c>
      <c r="I17" s="80" t="inlineStr">
        <is>
          <t>P</t>
        </is>
      </c>
      <c r="J17" s="80" t="inlineStr">
        <is>
          <t>P</t>
        </is>
      </c>
      <c r="K17" s="80" t="inlineStr">
        <is>
          <t>P</t>
        </is>
      </c>
      <c r="L17" s="80" t="inlineStr">
        <is>
          <t>P</t>
        </is>
      </c>
      <c r="M17" s="80" t="inlineStr">
        <is>
          <t>P</t>
        </is>
      </c>
      <c r="N17" s="80" t="inlineStr">
        <is>
          <t>P</t>
        </is>
      </c>
      <c r="O17" s="80" t="inlineStr">
        <is>
          <t>WO</t>
        </is>
      </c>
      <c r="P17" s="80" t="inlineStr">
        <is>
          <t>P</t>
        </is>
      </c>
      <c r="Q17" s="80" t="inlineStr">
        <is>
          <t>P</t>
        </is>
      </c>
      <c r="R17" s="80" t="inlineStr">
        <is>
          <t>P</t>
        </is>
      </c>
      <c r="S17" s="80" t="inlineStr">
        <is>
          <t>P</t>
        </is>
      </c>
      <c r="T17" s="80" t="inlineStr">
        <is>
          <t>P</t>
        </is>
      </c>
      <c r="U17" s="80" t="inlineStr">
        <is>
          <t>P</t>
        </is>
      </c>
      <c r="V17" s="80" t="inlineStr">
        <is>
          <t>WO</t>
        </is>
      </c>
      <c r="W17" s="80" t="inlineStr">
        <is>
          <t>P</t>
        </is>
      </c>
      <c r="X17" s="80" t="inlineStr">
        <is>
          <t>P</t>
        </is>
      </c>
      <c r="Y17" s="80" t="inlineStr">
        <is>
          <t>P</t>
        </is>
      </c>
      <c r="Z17" s="80" t="inlineStr">
        <is>
          <t>P</t>
        </is>
      </c>
      <c r="AA17" s="80" t="inlineStr">
        <is>
          <t>P</t>
        </is>
      </c>
      <c r="AB17" s="80" t="inlineStr">
        <is>
          <t>P</t>
        </is>
      </c>
      <c r="AC17" s="80" t="inlineStr">
        <is>
          <t>WO</t>
        </is>
      </c>
      <c r="AD17" s="80" t="inlineStr">
        <is>
          <t>P</t>
        </is>
      </c>
      <c r="AE17" s="80" t="inlineStr">
        <is>
          <t>P</t>
        </is>
      </c>
      <c r="AF17" s="80" t="inlineStr">
        <is>
          <t>P</t>
        </is>
      </c>
      <c r="AG17" s="80" t="inlineStr">
        <is>
          <t>P</t>
        </is>
      </c>
      <c r="AH17" s="80" t="inlineStr">
        <is>
          <t>P</t>
        </is>
      </c>
      <c r="AI17" s="80" t="inlineStr"/>
      <c r="AJ17" s="81">
        <f>COUNTIF(E17:AI17,"P")+COUNTIF(E17:AI17,"L")+COUNTIF(E17:AI17,"WFO")+COUNTIF(E17:AI17,"OT")</f>
        <v/>
      </c>
      <c r="AK17" s="81">
        <f>COUNTIF(E17:AI17,"A")</f>
        <v/>
      </c>
      <c r="AL17" s="81">
        <f>COUNTIF(E17:AI17,"L")</f>
        <v/>
      </c>
      <c r="AM17" s="81">
        <f>COUNTIF(E17:AI17,"HD")</f>
        <v/>
      </c>
      <c r="AN17" s="81">
        <f>COUNTIF(E17:AI17,"PL")+COUNTIF(E17:AI17,"UL")+COUNTIF(E17:AI17,"VL")+COUNTIF(E17:AI17,"SL")</f>
        <v/>
      </c>
      <c r="AO17" s="81">
        <f>COUNTIF(E17:AI17,"WO")+COUNTIF(E17:AI17,"H")</f>
        <v/>
      </c>
      <c r="AP17" s="81">
        <f>'03_Roster'!AK17</f>
        <v/>
      </c>
      <c r="AQ17" s="82">
        <f>IFERROR((AJ17+AM17*0.5)/(COUNTA(E17:AI17)-AO17),"")</f>
        <v/>
      </c>
    </row>
    <row r="18" ht="18" customHeight="1">
      <c r="A18" s="30">
        <f>'02_Employee_Master'!A16</f>
        <v/>
      </c>
      <c r="B18" s="9">
        <f>'02_Employee_Master'!B16</f>
        <v/>
      </c>
      <c r="C18" s="9">
        <f>'02_Employee_Master'!D16</f>
        <v/>
      </c>
      <c r="D18" s="9">
        <f>'02_Employee_Master'!C16</f>
        <v/>
      </c>
      <c r="E18" s="77" t="inlineStr">
        <is>
          <t>P</t>
        </is>
      </c>
      <c r="F18" s="77" t="inlineStr">
        <is>
          <t>P</t>
        </is>
      </c>
      <c r="G18" s="77" t="inlineStr">
        <is>
          <t>P</t>
        </is>
      </c>
      <c r="H18" s="77" t="inlineStr">
        <is>
          <t>P</t>
        </is>
      </c>
      <c r="I18" s="77" t="inlineStr">
        <is>
          <t>P</t>
        </is>
      </c>
      <c r="J18" s="77" t="inlineStr">
        <is>
          <t>WO</t>
        </is>
      </c>
      <c r="K18" s="77" t="inlineStr">
        <is>
          <t>P</t>
        </is>
      </c>
      <c r="L18" s="77" t="inlineStr">
        <is>
          <t>P</t>
        </is>
      </c>
      <c r="M18" s="77" t="inlineStr">
        <is>
          <t>P</t>
        </is>
      </c>
      <c r="N18" s="77" t="inlineStr">
        <is>
          <t>P</t>
        </is>
      </c>
      <c r="O18" s="77" t="inlineStr">
        <is>
          <t>P</t>
        </is>
      </c>
      <c r="P18" s="77" t="inlineStr">
        <is>
          <t>P</t>
        </is>
      </c>
      <c r="Q18" s="77" t="inlineStr">
        <is>
          <t>WO</t>
        </is>
      </c>
      <c r="R18" s="77" t="inlineStr">
        <is>
          <t>P</t>
        </is>
      </c>
      <c r="S18" s="77" t="inlineStr">
        <is>
          <t>P</t>
        </is>
      </c>
      <c r="T18" s="77" t="inlineStr">
        <is>
          <t>P</t>
        </is>
      </c>
      <c r="U18" s="77" t="inlineStr">
        <is>
          <t>P</t>
        </is>
      </c>
      <c r="V18" s="77" t="inlineStr">
        <is>
          <t>P</t>
        </is>
      </c>
      <c r="W18" s="77" t="inlineStr">
        <is>
          <t>P</t>
        </is>
      </c>
      <c r="X18" s="77" t="inlineStr">
        <is>
          <t>WO</t>
        </is>
      </c>
      <c r="Y18" s="77" t="inlineStr">
        <is>
          <t>P</t>
        </is>
      </c>
      <c r="Z18" s="77" t="inlineStr">
        <is>
          <t>P</t>
        </is>
      </c>
      <c r="AA18" s="77" t="inlineStr">
        <is>
          <t>P</t>
        </is>
      </c>
      <c r="AB18" s="77" t="inlineStr">
        <is>
          <t>P</t>
        </is>
      </c>
      <c r="AC18" s="77" t="inlineStr">
        <is>
          <t>P</t>
        </is>
      </c>
      <c r="AD18" s="77" t="inlineStr">
        <is>
          <t>P</t>
        </is>
      </c>
      <c r="AE18" s="77" t="inlineStr">
        <is>
          <t>WO</t>
        </is>
      </c>
      <c r="AF18" s="77" t="inlineStr">
        <is>
          <t>P</t>
        </is>
      </c>
      <c r="AG18" s="77" t="inlineStr">
        <is>
          <t>P</t>
        </is>
      </c>
      <c r="AH18" s="77" t="inlineStr">
        <is>
          <t>P</t>
        </is>
      </c>
      <c r="AI18" s="77" t="inlineStr"/>
      <c r="AJ18" s="78">
        <f>COUNTIF(E18:AI18,"P")+COUNTIF(E18:AI18,"L")+COUNTIF(E18:AI18,"WFO")+COUNTIF(E18:AI18,"OT")</f>
        <v/>
      </c>
      <c r="AK18" s="78">
        <f>COUNTIF(E18:AI18,"A")</f>
        <v/>
      </c>
      <c r="AL18" s="78">
        <f>COUNTIF(E18:AI18,"L")</f>
        <v/>
      </c>
      <c r="AM18" s="78">
        <f>COUNTIF(E18:AI18,"HD")</f>
        <v/>
      </c>
      <c r="AN18" s="78">
        <f>COUNTIF(E18:AI18,"PL")+COUNTIF(E18:AI18,"UL")+COUNTIF(E18:AI18,"VL")+COUNTIF(E18:AI18,"SL")</f>
        <v/>
      </c>
      <c r="AO18" s="78">
        <f>COUNTIF(E18:AI18,"WO")+COUNTIF(E18:AI18,"H")</f>
        <v/>
      </c>
      <c r="AP18" s="78">
        <f>'03_Roster'!AK18</f>
        <v/>
      </c>
      <c r="AQ18" s="79">
        <f>IFERROR((AJ18+AM18*0.5)/(COUNTA(E18:AI18)-AO18),"")</f>
        <v/>
      </c>
    </row>
    <row r="19" ht="18" customHeight="1">
      <c r="A19" s="33">
        <f>'02_Employee_Master'!A17</f>
        <v/>
      </c>
      <c r="B19" s="11">
        <f>'02_Employee_Master'!B17</f>
        <v/>
      </c>
      <c r="C19" s="11">
        <f>'02_Employee_Master'!D17</f>
        <v/>
      </c>
      <c r="D19" s="11">
        <f>'02_Employee_Master'!C17</f>
        <v/>
      </c>
      <c r="E19" s="80" t="inlineStr">
        <is>
          <t>WO</t>
        </is>
      </c>
      <c r="F19" s="80" t="inlineStr">
        <is>
          <t>P</t>
        </is>
      </c>
      <c r="G19" s="80" t="inlineStr">
        <is>
          <t>P</t>
        </is>
      </c>
      <c r="H19" s="80" t="inlineStr">
        <is>
          <t>P</t>
        </is>
      </c>
      <c r="I19" s="80" t="inlineStr">
        <is>
          <t>P</t>
        </is>
      </c>
      <c r="J19" s="80" t="inlineStr">
        <is>
          <t>P</t>
        </is>
      </c>
      <c r="K19" s="80" t="inlineStr">
        <is>
          <t>P</t>
        </is>
      </c>
      <c r="L19" s="80" t="inlineStr">
        <is>
          <t>WO</t>
        </is>
      </c>
      <c r="M19" s="80" t="inlineStr">
        <is>
          <t>P</t>
        </is>
      </c>
      <c r="N19" s="80" t="inlineStr">
        <is>
          <t>P</t>
        </is>
      </c>
      <c r="O19" s="80" t="inlineStr">
        <is>
          <t>P</t>
        </is>
      </c>
      <c r="P19" s="80" t="inlineStr">
        <is>
          <t>P</t>
        </is>
      </c>
      <c r="Q19" s="80" t="inlineStr">
        <is>
          <t>P</t>
        </is>
      </c>
      <c r="R19" s="80" t="inlineStr">
        <is>
          <t>P</t>
        </is>
      </c>
      <c r="S19" s="80" t="inlineStr">
        <is>
          <t>WO</t>
        </is>
      </c>
      <c r="T19" s="80" t="inlineStr">
        <is>
          <t>P</t>
        </is>
      </c>
      <c r="U19" s="80" t="inlineStr">
        <is>
          <t>P</t>
        </is>
      </c>
      <c r="V19" s="80" t="inlineStr">
        <is>
          <t>P</t>
        </is>
      </c>
      <c r="W19" s="80" t="inlineStr">
        <is>
          <t>P</t>
        </is>
      </c>
      <c r="X19" s="80" t="inlineStr">
        <is>
          <t>HD</t>
        </is>
      </c>
      <c r="Y19" s="80" t="inlineStr">
        <is>
          <t>P</t>
        </is>
      </c>
      <c r="Z19" s="80" t="inlineStr">
        <is>
          <t>WO</t>
        </is>
      </c>
      <c r="AA19" s="80" t="inlineStr">
        <is>
          <t>P</t>
        </is>
      </c>
      <c r="AB19" s="80" t="inlineStr">
        <is>
          <t>P</t>
        </is>
      </c>
      <c r="AC19" s="80" t="inlineStr">
        <is>
          <t>P</t>
        </is>
      </c>
      <c r="AD19" s="80" t="inlineStr">
        <is>
          <t>P</t>
        </is>
      </c>
      <c r="AE19" s="80" t="inlineStr">
        <is>
          <t>P</t>
        </is>
      </c>
      <c r="AF19" s="80" t="inlineStr">
        <is>
          <t>P</t>
        </is>
      </c>
      <c r="AG19" s="80" t="inlineStr">
        <is>
          <t>WO</t>
        </is>
      </c>
      <c r="AH19" s="80" t="inlineStr">
        <is>
          <t>P</t>
        </is>
      </c>
      <c r="AI19" s="80" t="inlineStr"/>
      <c r="AJ19" s="81">
        <f>COUNTIF(E19:AI19,"P")+COUNTIF(E19:AI19,"L")+COUNTIF(E19:AI19,"WFO")+COUNTIF(E19:AI19,"OT")</f>
        <v/>
      </c>
      <c r="AK19" s="81">
        <f>COUNTIF(E19:AI19,"A")</f>
        <v/>
      </c>
      <c r="AL19" s="81">
        <f>COUNTIF(E19:AI19,"L")</f>
        <v/>
      </c>
      <c r="AM19" s="81">
        <f>COUNTIF(E19:AI19,"HD")</f>
        <v/>
      </c>
      <c r="AN19" s="81">
        <f>COUNTIF(E19:AI19,"PL")+COUNTIF(E19:AI19,"UL")+COUNTIF(E19:AI19,"VL")+COUNTIF(E19:AI19,"SL")</f>
        <v/>
      </c>
      <c r="AO19" s="81">
        <f>COUNTIF(E19:AI19,"WO")+COUNTIF(E19:AI19,"H")</f>
        <v/>
      </c>
      <c r="AP19" s="81">
        <f>'03_Roster'!AK19</f>
        <v/>
      </c>
      <c r="AQ19" s="82">
        <f>IFERROR((AJ19+AM19*0.5)/(COUNTA(E19:AI19)-AO19),"")</f>
        <v/>
      </c>
    </row>
    <row r="20" ht="18" customHeight="1">
      <c r="A20" s="30">
        <f>'02_Employee_Master'!A18</f>
        <v/>
      </c>
      <c r="B20" s="9">
        <f>'02_Employee_Master'!B18</f>
        <v/>
      </c>
      <c r="C20" s="9">
        <f>'02_Employee_Master'!D18</f>
        <v/>
      </c>
      <c r="D20" s="9">
        <f>'02_Employee_Master'!C18</f>
        <v/>
      </c>
      <c r="E20" s="77" t="inlineStr">
        <is>
          <t>L</t>
        </is>
      </c>
      <c r="F20" s="77" t="inlineStr">
        <is>
          <t>P</t>
        </is>
      </c>
      <c r="G20" s="77" t="inlineStr">
        <is>
          <t>WO</t>
        </is>
      </c>
      <c r="H20" s="77" t="inlineStr">
        <is>
          <t>P</t>
        </is>
      </c>
      <c r="I20" s="77" t="inlineStr">
        <is>
          <t>P</t>
        </is>
      </c>
      <c r="J20" s="77" t="inlineStr">
        <is>
          <t>P</t>
        </is>
      </c>
      <c r="K20" s="77" t="inlineStr">
        <is>
          <t>P</t>
        </is>
      </c>
      <c r="L20" s="77" t="inlineStr">
        <is>
          <t>P</t>
        </is>
      </c>
      <c r="M20" s="77" t="inlineStr">
        <is>
          <t>P</t>
        </is>
      </c>
      <c r="N20" s="77" t="inlineStr">
        <is>
          <t>WO</t>
        </is>
      </c>
      <c r="O20" s="77" t="inlineStr">
        <is>
          <t>P</t>
        </is>
      </c>
      <c r="P20" s="77" t="inlineStr">
        <is>
          <t>P</t>
        </is>
      </c>
      <c r="Q20" s="77" t="inlineStr">
        <is>
          <t>P</t>
        </is>
      </c>
      <c r="R20" s="77" t="inlineStr">
        <is>
          <t>P</t>
        </is>
      </c>
      <c r="S20" s="77" t="inlineStr">
        <is>
          <t>P</t>
        </is>
      </c>
      <c r="T20" s="77" t="inlineStr">
        <is>
          <t>P</t>
        </is>
      </c>
      <c r="U20" s="77" t="inlineStr">
        <is>
          <t>WO</t>
        </is>
      </c>
      <c r="V20" s="77" t="inlineStr">
        <is>
          <t>P</t>
        </is>
      </c>
      <c r="W20" s="77" t="inlineStr">
        <is>
          <t>P</t>
        </is>
      </c>
      <c r="X20" s="77" t="inlineStr">
        <is>
          <t>P</t>
        </is>
      </c>
      <c r="Y20" s="77" t="inlineStr">
        <is>
          <t>P</t>
        </is>
      </c>
      <c r="Z20" s="77" t="inlineStr">
        <is>
          <t>P</t>
        </is>
      </c>
      <c r="AA20" s="77" t="inlineStr">
        <is>
          <t>P</t>
        </is>
      </c>
      <c r="AB20" s="77" t="inlineStr">
        <is>
          <t>WO</t>
        </is>
      </c>
      <c r="AC20" s="77" t="inlineStr">
        <is>
          <t>P</t>
        </is>
      </c>
      <c r="AD20" s="77" t="inlineStr">
        <is>
          <t>P</t>
        </is>
      </c>
      <c r="AE20" s="77" t="inlineStr">
        <is>
          <t>P</t>
        </is>
      </c>
      <c r="AF20" s="77" t="inlineStr">
        <is>
          <t>P</t>
        </is>
      </c>
      <c r="AG20" s="77" t="inlineStr">
        <is>
          <t>P</t>
        </is>
      </c>
      <c r="AH20" s="77" t="inlineStr">
        <is>
          <t>P</t>
        </is>
      </c>
      <c r="AI20" s="77" t="inlineStr"/>
      <c r="AJ20" s="78">
        <f>COUNTIF(E20:AI20,"P")+COUNTIF(E20:AI20,"L")+COUNTIF(E20:AI20,"WFO")+COUNTIF(E20:AI20,"OT")</f>
        <v/>
      </c>
      <c r="AK20" s="78">
        <f>COUNTIF(E20:AI20,"A")</f>
        <v/>
      </c>
      <c r="AL20" s="78">
        <f>COUNTIF(E20:AI20,"L")</f>
        <v/>
      </c>
      <c r="AM20" s="78">
        <f>COUNTIF(E20:AI20,"HD")</f>
        <v/>
      </c>
      <c r="AN20" s="78">
        <f>COUNTIF(E20:AI20,"PL")+COUNTIF(E20:AI20,"UL")+COUNTIF(E20:AI20,"VL")+COUNTIF(E20:AI20,"SL")</f>
        <v/>
      </c>
      <c r="AO20" s="78">
        <f>COUNTIF(E20:AI20,"WO")+COUNTIF(E20:AI20,"H")</f>
        <v/>
      </c>
      <c r="AP20" s="78">
        <f>'03_Roster'!AK20</f>
        <v/>
      </c>
      <c r="AQ20" s="79">
        <f>IFERROR((AJ20+AM20*0.5)/(COUNTA(E20:AI20)-AO20),"")</f>
        <v/>
      </c>
    </row>
    <row r="21" ht="18" customHeight="1">
      <c r="A21" s="33">
        <f>'02_Employee_Master'!A19</f>
        <v/>
      </c>
      <c r="B21" s="11">
        <f>'02_Employee_Master'!B19</f>
        <v/>
      </c>
      <c r="C21" s="11">
        <f>'02_Employee_Master'!D19</f>
        <v/>
      </c>
      <c r="D21" s="11">
        <f>'02_Employee_Master'!C19</f>
        <v/>
      </c>
      <c r="E21" s="80" t="inlineStr">
        <is>
          <t>P</t>
        </is>
      </c>
      <c r="F21" s="80" t="inlineStr">
        <is>
          <t>P</t>
        </is>
      </c>
      <c r="G21" s="80" t="inlineStr">
        <is>
          <t>P</t>
        </is>
      </c>
      <c r="H21" s="80" t="inlineStr">
        <is>
          <t>P</t>
        </is>
      </c>
      <c r="I21" s="80" t="inlineStr">
        <is>
          <t>WO</t>
        </is>
      </c>
      <c r="J21" s="80" t="inlineStr">
        <is>
          <t>P</t>
        </is>
      </c>
      <c r="K21" s="80" t="inlineStr">
        <is>
          <t>P</t>
        </is>
      </c>
      <c r="L21" s="80" t="inlineStr">
        <is>
          <t>P</t>
        </is>
      </c>
      <c r="M21" s="80" t="inlineStr">
        <is>
          <t>P</t>
        </is>
      </c>
      <c r="N21" s="80" t="inlineStr">
        <is>
          <t>P</t>
        </is>
      </c>
      <c r="O21" s="80" t="inlineStr">
        <is>
          <t>P</t>
        </is>
      </c>
      <c r="P21" s="80" t="inlineStr">
        <is>
          <t>WO</t>
        </is>
      </c>
      <c r="Q21" s="80" t="inlineStr">
        <is>
          <t>P</t>
        </is>
      </c>
      <c r="R21" s="80" t="inlineStr">
        <is>
          <t>P</t>
        </is>
      </c>
      <c r="S21" s="80" t="inlineStr">
        <is>
          <t>P</t>
        </is>
      </c>
      <c r="T21" s="80" t="inlineStr">
        <is>
          <t>P</t>
        </is>
      </c>
      <c r="U21" s="80" t="inlineStr">
        <is>
          <t>P</t>
        </is>
      </c>
      <c r="V21" s="80" t="inlineStr">
        <is>
          <t>P</t>
        </is>
      </c>
      <c r="W21" s="80" t="inlineStr">
        <is>
          <t>WO</t>
        </is>
      </c>
      <c r="X21" s="80" t="inlineStr">
        <is>
          <t>P</t>
        </is>
      </c>
      <c r="Y21" s="80" t="inlineStr">
        <is>
          <t>P</t>
        </is>
      </c>
      <c r="Z21" s="80" t="inlineStr">
        <is>
          <t>L</t>
        </is>
      </c>
      <c r="AA21" s="80" t="inlineStr">
        <is>
          <t>P</t>
        </is>
      </c>
      <c r="AB21" s="80" t="inlineStr">
        <is>
          <t>P</t>
        </is>
      </c>
      <c r="AC21" s="80" t="inlineStr">
        <is>
          <t>P</t>
        </is>
      </c>
      <c r="AD21" s="80" t="inlineStr">
        <is>
          <t>WO</t>
        </is>
      </c>
      <c r="AE21" s="80" t="inlineStr">
        <is>
          <t>P</t>
        </is>
      </c>
      <c r="AF21" s="80" t="inlineStr">
        <is>
          <t>P</t>
        </is>
      </c>
      <c r="AG21" s="80" t="inlineStr">
        <is>
          <t>P</t>
        </is>
      </c>
      <c r="AH21" s="80" t="inlineStr">
        <is>
          <t>P</t>
        </is>
      </c>
      <c r="AI21" s="80" t="inlineStr"/>
      <c r="AJ21" s="81">
        <f>COUNTIF(E21:AI21,"P")+COUNTIF(E21:AI21,"L")+COUNTIF(E21:AI21,"WFO")+COUNTIF(E21:AI21,"OT")</f>
        <v/>
      </c>
      <c r="AK21" s="81">
        <f>COUNTIF(E21:AI21,"A")</f>
        <v/>
      </c>
      <c r="AL21" s="81">
        <f>COUNTIF(E21:AI21,"L")</f>
        <v/>
      </c>
      <c r="AM21" s="81">
        <f>COUNTIF(E21:AI21,"HD")</f>
        <v/>
      </c>
      <c r="AN21" s="81">
        <f>COUNTIF(E21:AI21,"PL")+COUNTIF(E21:AI21,"UL")+COUNTIF(E21:AI21,"VL")+COUNTIF(E21:AI21,"SL")</f>
        <v/>
      </c>
      <c r="AO21" s="81">
        <f>COUNTIF(E21:AI21,"WO")+COUNTIF(E21:AI21,"H")</f>
        <v/>
      </c>
      <c r="AP21" s="81">
        <f>'03_Roster'!AK21</f>
        <v/>
      </c>
      <c r="AQ21" s="82">
        <f>IFERROR((AJ21+AM21*0.5)/(COUNTA(E21:AI21)-AO21),"")</f>
        <v/>
      </c>
    </row>
    <row r="22" ht="18" customHeight="1">
      <c r="A22" s="30">
        <f>'02_Employee_Master'!A20</f>
        <v/>
      </c>
      <c r="B22" s="9">
        <f>'02_Employee_Master'!B20</f>
        <v/>
      </c>
      <c r="C22" s="9">
        <f>'02_Employee_Master'!D20</f>
        <v/>
      </c>
      <c r="D22" s="9">
        <f>'02_Employee_Master'!C20</f>
        <v/>
      </c>
      <c r="E22" s="77" t="inlineStr">
        <is>
          <t>P</t>
        </is>
      </c>
      <c r="F22" s="77" t="inlineStr">
        <is>
          <t>P</t>
        </is>
      </c>
      <c r="G22" s="77" t="inlineStr">
        <is>
          <t>P</t>
        </is>
      </c>
      <c r="H22" s="77" t="inlineStr">
        <is>
          <t>P</t>
        </is>
      </c>
      <c r="I22" s="77" t="inlineStr">
        <is>
          <t>P</t>
        </is>
      </c>
      <c r="J22" s="77" t="inlineStr">
        <is>
          <t>P</t>
        </is>
      </c>
      <c r="K22" s="77" t="inlineStr">
        <is>
          <t>WO</t>
        </is>
      </c>
      <c r="L22" s="77" t="inlineStr">
        <is>
          <t>P</t>
        </is>
      </c>
      <c r="M22" s="77" t="inlineStr">
        <is>
          <t>SL</t>
        </is>
      </c>
      <c r="N22" s="77" t="inlineStr">
        <is>
          <t>P</t>
        </is>
      </c>
      <c r="O22" s="77" t="inlineStr">
        <is>
          <t>P</t>
        </is>
      </c>
      <c r="P22" s="77" t="inlineStr">
        <is>
          <t>P</t>
        </is>
      </c>
      <c r="Q22" s="77" t="inlineStr">
        <is>
          <t>P</t>
        </is>
      </c>
      <c r="R22" s="77" t="inlineStr">
        <is>
          <t>WO</t>
        </is>
      </c>
      <c r="S22" s="77" t="inlineStr">
        <is>
          <t>P</t>
        </is>
      </c>
      <c r="T22" s="77" t="inlineStr">
        <is>
          <t>P</t>
        </is>
      </c>
      <c r="U22" s="77" t="inlineStr">
        <is>
          <t>P</t>
        </is>
      </c>
      <c r="V22" s="77" t="inlineStr">
        <is>
          <t>P</t>
        </is>
      </c>
      <c r="W22" s="77" t="inlineStr">
        <is>
          <t>P</t>
        </is>
      </c>
      <c r="X22" s="77" t="inlineStr">
        <is>
          <t>P</t>
        </is>
      </c>
      <c r="Y22" s="77" t="inlineStr">
        <is>
          <t>WO</t>
        </is>
      </c>
      <c r="Z22" s="77" t="inlineStr">
        <is>
          <t>P</t>
        </is>
      </c>
      <c r="AA22" s="77" t="inlineStr">
        <is>
          <t>P</t>
        </is>
      </c>
      <c r="AB22" s="77" t="inlineStr">
        <is>
          <t>P</t>
        </is>
      </c>
      <c r="AC22" s="77" t="inlineStr">
        <is>
          <t>P</t>
        </is>
      </c>
      <c r="AD22" s="77" t="inlineStr">
        <is>
          <t>P</t>
        </is>
      </c>
      <c r="AE22" s="77" t="inlineStr">
        <is>
          <t>P</t>
        </is>
      </c>
      <c r="AF22" s="77" t="inlineStr">
        <is>
          <t>WO</t>
        </is>
      </c>
      <c r="AG22" s="77" t="inlineStr">
        <is>
          <t>P</t>
        </is>
      </c>
      <c r="AH22" s="77" t="inlineStr">
        <is>
          <t>P</t>
        </is>
      </c>
      <c r="AI22" s="77" t="inlineStr"/>
      <c r="AJ22" s="78">
        <f>COUNTIF(E22:AI22,"P")+COUNTIF(E22:AI22,"L")+COUNTIF(E22:AI22,"WFO")+COUNTIF(E22:AI22,"OT")</f>
        <v/>
      </c>
      <c r="AK22" s="78">
        <f>COUNTIF(E22:AI22,"A")</f>
        <v/>
      </c>
      <c r="AL22" s="78">
        <f>COUNTIF(E22:AI22,"L")</f>
        <v/>
      </c>
      <c r="AM22" s="78">
        <f>COUNTIF(E22:AI22,"HD")</f>
        <v/>
      </c>
      <c r="AN22" s="78">
        <f>COUNTIF(E22:AI22,"PL")+COUNTIF(E22:AI22,"UL")+COUNTIF(E22:AI22,"VL")+COUNTIF(E22:AI22,"SL")</f>
        <v/>
      </c>
      <c r="AO22" s="78">
        <f>COUNTIF(E22:AI22,"WO")+COUNTIF(E22:AI22,"H")</f>
        <v/>
      </c>
      <c r="AP22" s="78">
        <f>'03_Roster'!AK22</f>
        <v/>
      </c>
      <c r="AQ22" s="79">
        <f>IFERROR((AJ22+AM22*0.5)/(COUNTA(E22:AI22)-AO22),"")</f>
        <v/>
      </c>
    </row>
    <row r="23" ht="18" customHeight="1">
      <c r="A23" s="33">
        <f>'02_Employee_Master'!A21</f>
        <v/>
      </c>
      <c r="B23" s="11">
        <f>'02_Employee_Master'!B21</f>
        <v/>
      </c>
      <c r="C23" s="11">
        <f>'02_Employee_Master'!D21</f>
        <v/>
      </c>
      <c r="D23" s="11">
        <f>'02_Employee_Master'!C21</f>
        <v/>
      </c>
      <c r="E23" s="80" t="inlineStr">
        <is>
          <t>P</t>
        </is>
      </c>
      <c r="F23" s="80" t="inlineStr">
        <is>
          <t>WO</t>
        </is>
      </c>
      <c r="G23" s="80" t="inlineStr">
        <is>
          <t>P</t>
        </is>
      </c>
      <c r="H23" s="80" t="inlineStr">
        <is>
          <t>P</t>
        </is>
      </c>
      <c r="I23" s="80" t="inlineStr">
        <is>
          <t>P</t>
        </is>
      </c>
      <c r="J23" s="80" t="inlineStr">
        <is>
          <t>P</t>
        </is>
      </c>
      <c r="K23" s="80" t="inlineStr">
        <is>
          <t>HD</t>
        </is>
      </c>
      <c r="L23" s="80" t="inlineStr">
        <is>
          <t>P</t>
        </is>
      </c>
      <c r="M23" s="80" t="inlineStr">
        <is>
          <t>WO</t>
        </is>
      </c>
      <c r="N23" s="80" t="inlineStr">
        <is>
          <t>P</t>
        </is>
      </c>
      <c r="O23" s="80" t="inlineStr">
        <is>
          <t>P</t>
        </is>
      </c>
      <c r="P23" s="80" t="inlineStr">
        <is>
          <t>P</t>
        </is>
      </c>
      <c r="Q23" s="80" t="inlineStr">
        <is>
          <t>P</t>
        </is>
      </c>
      <c r="R23" s="80" t="inlineStr">
        <is>
          <t>P</t>
        </is>
      </c>
      <c r="S23" s="80" t="inlineStr">
        <is>
          <t>P</t>
        </is>
      </c>
      <c r="T23" s="80" t="inlineStr">
        <is>
          <t>WO</t>
        </is>
      </c>
      <c r="U23" s="80" t="inlineStr">
        <is>
          <t>P</t>
        </is>
      </c>
      <c r="V23" s="80" t="inlineStr">
        <is>
          <t>P</t>
        </is>
      </c>
      <c r="W23" s="80" t="inlineStr">
        <is>
          <t>P</t>
        </is>
      </c>
      <c r="X23" s="80" t="inlineStr">
        <is>
          <t>P</t>
        </is>
      </c>
      <c r="Y23" s="80" t="inlineStr">
        <is>
          <t>P</t>
        </is>
      </c>
      <c r="Z23" s="80" t="inlineStr">
        <is>
          <t>P</t>
        </is>
      </c>
      <c r="AA23" s="80" t="inlineStr">
        <is>
          <t>WO</t>
        </is>
      </c>
      <c r="AB23" s="80" t="inlineStr">
        <is>
          <t>P</t>
        </is>
      </c>
      <c r="AC23" s="80" t="inlineStr">
        <is>
          <t>P</t>
        </is>
      </c>
      <c r="AD23" s="80" t="inlineStr">
        <is>
          <t>P</t>
        </is>
      </c>
      <c r="AE23" s="80" t="inlineStr">
        <is>
          <t>P</t>
        </is>
      </c>
      <c r="AF23" s="80" t="inlineStr">
        <is>
          <t>P</t>
        </is>
      </c>
      <c r="AG23" s="80" t="inlineStr">
        <is>
          <t>P</t>
        </is>
      </c>
      <c r="AH23" s="80" t="inlineStr">
        <is>
          <t>WO</t>
        </is>
      </c>
      <c r="AI23" s="80" t="inlineStr"/>
      <c r="AJ23" s="81">
        <f>COUNTIF(E23:AI23,"P")+COUNTIF(E23:AI23,"L")+COUNTIF(E23:AI23,"WFO")+COUNTIF(E23:AI23,"OT")</f>
        <v/>
      </c>
      <c r="AK23" s="81">
        <f>COUNTIF(E23:AI23,"A")</f>
        <v/>
      </c>
      <c r="AL23" s="81">
        <f>COUNTIF(E23:AI23,"L")</f>
        <v/>
      </c>
      <c r="AM23" s="81">
        <f>COUNTIF(E23:AI23,"HD")</f>
        <v/>
      </c>
      <c r="AN23" s="81">
        <f>COUNTIF(E23:AI23,"PL")+COUNTIF(E23:AI23,"UL")+COUNTIF(E23:AI23,"VL")+COUNTIF(E23:AI23,"SL")</f>
        <v/>
      </c>
      <c r="AO23" s="81">
        <f>COUNTIF(E23:AI23,"WO")+COUNTIF(E23:AI23,"H")</f>
        <v/>
      </c>
      <c r="AP23" s="81">
        <f>'03_Roster'!AK23</f>
        <v/>
      </c>
      <c r="AQ23" s="82">
        <f>IFERROR((AJ23+AM23*0.5)/(COUNTA(E23:AI23)-AO23),"")</f>
        <v/>
      </c>
    </row>
    <row r="24" ht="18" customHeight="1">
      <c r="A24" s="30">
        <f>'02_Employee_Master'!A22</f>
        <v/>
      </c>
      <c r="B24" s="9">
        <f>'02_Employee_Master'!B22</f>
        <v/>
      </c>
      <c r="C24" s="9">
        <f>'02_Employee_Master'!D22</f>
        <v/>
      </c>
      <c r="D24" s="9">
        <f>'02_Employee_Master'!C22</f>
        <v/>
      </c>
      <c r="E24" s="77" t="inlineStr">
        <is>
          <t>P</t>
        </is>
      </c>
      <c r="F24" s="77" t="inlineStr">
        <is>
          <t>P</t>
        </is>
      </c>
      <c r="G24" s="77" t="inlineStr">
        <is>
          <t>P</t>
        </is>
      </c>
      <c r="H24" s="77" t="inlineStr">
        <is>
          <t>WO</t>
        </is>
      </c>
      <c r="I24" s="77" t="inlineStr">
        <is>
          <t>P</t>
        </is>
      </c>
      <c r="J24" s="77" t="inlineStr">
        <is>
          <t>P</t>
        </is>
      </c>
      <c r="K24" s="77" t="inlineStr">
        <is>
          <t>P</t>
        </is>
      </c>
      <c r="L24" s="77" t="inlineStr">
        <is>
          <t>P</t>
        </is>
      </c>
      <c r="M24" s="77" t="inlineStr">
        <is>
          <t>P</t>
        </is>
      </c>
      <c r="N24" s="77" t="inlineStr">
        <is>
          <t>P</t>
        </is>
      </c>
      <c r="O24" s="77" t="inlineStr">
        <is>
          <t>WO</t>
        </is>
      </c>
      <c r="P24" s="77" t="inlineStr">
        <is>
          <t>P</t>
        </is>
      </c>
      <c r="Q24" s="77" t="inlineStr">
        <is>
          <t>P</t>
        </is>
      </c>
      <c r="R24" s="77" t="inlineStr">
        <is>
          <t>P</t>
        </is>
      </c>
      <c r="S24" s="77" t="inlineStr">
        <is>
          <t>P</t>
        </is>
      </c>
      <c r="T24" s="77" t="inlineStr">
        <is>
          <t>P</t>
        </is>
      </c>
      <c r="U24" s="77" t="inlineStr">
        <is>
          <t>P</t>
        </is>
      </c>
      <c r="V24" s="77" t="inlineStr">
        <is>
          <t>WO</t>
        </is>
      </c>
      <c r="W24" s="77" t="inlineStr">
        <is>
          <t>P</t>
        </is>
      </c>
      <c r="X24" s="77" t="inlineStr">
        <is>
          <t>P</t>
        </is>
      </c>
      <c r="Y24" s="77" t="inlineStr">
        <is>
          <t>P</t>
        </is>
      </c>
      <c r="Z24" s="77" t="inlineStr">
        <is>
          <t>P</t>
        </is>
      </c>
      <c r="AA24" s="77" t="inlineStr">
        <is>
          <t>P</t>
        </is>
      </c>
      <c r="AB24" s="77" t="inlineStr">
        <is>
          <t>P</t>
        </is>
      </c>
      <c r="AC24" s="77" t="inlineStr">
        <is>
          <t>WO</t>
        </is>
      </c>
      <c r="AD24" s="77" t="inlineStr">
        <is>
          <t>P</t>
        </is>
      </c>
      <c r="AE24" s="77" t="inlineStr">
        <is>
          <t>P</t>
        </is>
      </c>
      <c r="AF24" s="77" t="inlineStr">
        <is>
          <t>HD</t>
        </is>
      </c>
      <c r="AG24" s="77" t="inlineStr">
        <is>
          <t>P</t>
        </is>
      </c>
      <c r="AH24" s="77" t="inlineStr">
        <is>
          <t>P</t>
        </is>
      </c>
      <c r="AI24" s="77" t="inlineStr"/>
      <c r="AJ24" s="78">
        <f>COUNTIF(E24:AI24,"P")+COUNTIF(E24:AI24,"L")+COUNTIF(E24:AI24,"WFO")+COUNTIF(E24:AI24,"OT")</f>
        <v/>
      </c>
      <c r="AK24" s="78">
        <f>COUNTIF(E24:AI24,"A")</f>
        <v/>
      </c>
      <c r="AL24" s="78">
        <f>COUNTIF(E24:AI24,"L")</f>
        <v/>
      </c>
      <c r="AM24" s="78">
        <f>COUNTIF(E24:AI24,"HD")</f>
        <v/>
      </c>
      <c r="AN24" s="78">
        <f>COUNTIF(E24:AI24,"PL")+COUNTIF(E24:AI24,"UL")+COUNTIF(E24:AI24,"VL")+COUNTIF(E24:AI24,"SL")</f>
        <v/>
      </c>
      <c r="AO24" s="78">
        <f>COUNTIF(E24:AI24,"WO")+COUNTIF(E24:AI24,"H")</f>
        <v/>
      </c>
      <c r="AP24" s="78">
        <f>'03_Roster'!AK24</f>
        <v/>
      </c>
      <c r="AQ24" s="79">
        <f>IFERROR((AJ24+AM24*0.5)/(COUNTA(E24:AI24)-AO24),"")</f>
        <v/>
      </c>
    </row>
    <row r="25" ht="18" customHeight="1">
      <c r="A25" s="33">
        <f>'02_Employee_Master'!A23</f>
        <v/>
      </c>
      <c r="B25" s="11">
        <f>'02_Employee_Master'!B23</f>
        <v/>
      </c>
      <c r="C25" s="11">
        <f>'02_Employee_Master'!D23</f>
        <v/>
      </c>
      <c r="D25" s="11">
        <f>'02_Employee_Master'!C23</f>
        <v/>
      </c>
      <c r="E25" s="80" t="inlineStr">
        <is>
          <t>P</t>
        </is>
      </c>
      <c r="F25" s="80" t="inlineStr">
        <is>
          <t>P</t>
        </is>
      </c>
      <c r="G25" s="80" t="inlineStr">
        <is>
          <t>P</t>
        </is>
      </c>
      <c r="H25" s="80" t="inlineStr">
        <is>
          <t>P</t>
        </is>
      </c>
      <c r="I25" s="80" t="inlineStr">
        <is>
          <t>P</t>
        </is>
      </c>
      <c r="J25" s="80" t="inlineStr">
        <is>
          <t>WO</t>
        </is>
      </c>
      <c r="K25" s="80" t="inlineStr">
        <is>
          <t>P</t>
        </is>
      </c>
      <c r="L25" s="80" t="inlineStr">
        <is>
          <t>P</t>
        </is>
      </c>
      <c r="M25" s="80" t="inlineStr">
        <is>
          <t>L</t>
        </is>
      </c>
      <c r="N25" s="80" t="inlineStr">
        <is>
          <t>P</t>
        </is>
      </c>
      <c r="O25" s="80" t="inlineStr">
        <is>
          <t>P</t>
        </is>
      </c>
      <c r="P25" s="80" t="inlineStr">
        <is>
          <t>P</t>
        </is>
      </c>
      <c r="Q25" s="80" t="inlineStr">
        <is>
          <t>WO</t>
        </is>
      </c>
      <c r="R25" s="80" t="inlineStr">
        <is>
          <t>P</t>
        </is>
      </c>
      <c r="S25" s="80" t="inlineStr">
        <is>
          <t>P</t>
        </is>
      </c>
      <c r="T25" s="80" t="inlineStr">
        <is>
          <t>P</t>
        </is>
      </c>
      <c r="U25" s="80" t="inlineStr">
        <is>
          <t>P</t>
        </is>
      </c>
      <c r="V25" s="80" t="inlineStr">
        <is>
          <t>P</t>
        </is>
      </c>
      <c r="W25" s="80" t="inlineStr">
        <is>
          <t>P</t>
        </is>
      </c>
      <c r="X25" s="80" t="inlineStr">
        <is>
          <t>WO</t>
        </is>
      </c>
      <c r="Y25" s="80" t="inlineStr">
        <is>
          <t>P</t>
        </is>
      </c>
      <c r="Z25" s="80" t="inlineStr">
        <is>
          <t>P</t>
        </is>
      </c>
      <c r="AA25" s="80" t="inlineStr">
        <is>
          <t>P</t>
        </is>
      </c>
      <c r="AB25" s="80" t="inlineStr">
        <is>
          <t>P</t>
        </is>
      </c>
      <c r="AC25" s="80" t="inlineStr">
        <is>
          <t>P</t>
        </is>
      </c>
      <c r="AD25" s="80" t="inlineStr">
        <is>
          <t>P</t>
        </is>
      </c>
      <c r="AE25" s="80" t="inlineStr">
        <is>
          <t>WO</t>
        </is>
      </c>
      <c r="AF25" s="80" t="inlineStr">
        <is>
          <t>P</t>
        </is>
      </c>
      <c r="AG25" s="80" t="inlineStr">
        <is>
          <t>P</t>
        </is>
      </c>
      <c r="AH25" s="80" t="inlineStr">
        <is>
          <t>P</t>
        </is>
      </c>
      <c r="AI25" s="80" t="inlineStr"/>
      <c r="AJ25" s="81">
        <f>COUNTIF(E25:AI25,"P")+COUNTIF(E25:AI25,"L")+COUNTIF(E25:AI25,"WFO")+COUNTIF(E25:AI25,"OT")</f>
        <v/>
      </c>
      <c r="AK25" s="81">
        <f>COUNTIF(E25:AI25,"A")</f>
        <v/>
      </c>
      <c r="AL25" s="81">
        <f>COUNTIF(E25:AI25,"L")</f>
        <v/>
      </c>
      <c r="AM25" s="81">
        <f>COUNTIF(E25:AI25,"HD")</f>
        <v/>
      </c>
      <c r="AN25" s="81">
        <f>COUNTIF(E25:AI25,"PL")+COUNTIF(E25:AI25,"UL")+COUNTIF(E25:AI25,"VL")+COUNTIF(E25:AI25,"SL")</f>
        <v/>
      </c>
      <c r="AO25" s="81">
        <f>COUNTIF(E25:AI25,"WO")+COUNTIF(E25:AI25,"H")</f>
        <v/>
      </c>
      <c r="AP25" s="81">
        <f>'03_Roster'!AK25</f>
        <v/>
      </c>
      <c r="AQ25" s="82">
        <f>IFERROR((AJ25+AM25*0.5)/(COUNTA(E25:AI25)-AO25),"")</f>
        <v/>
      </c>
    </row>
    <row r="26" ht="18" customHeight="1">
      <c r="A26" s="30">
        <f>'02_Employee_Master'!A24</f>
        <v/>
      </c>
      <c r="B26" s="9">
        <f>'02_Employee_Master'!B24</f>
        <v/>
      </c>
      <c r="C26" s="9">
        <f>'02_Employee_Master'!D24</f>
        <v/>
      </c>
      <c r="D26" s="9">
        <f>'02_Employee_Master'!C24</f>
        <v/>
      </c>
      <c r="E26" s="77" t="inlineStr">
        <is>
          <t>WO</t>
        </is>
      </c>
      <c r="F26" s="77" t="inlineStr">
        <is>
          <t>P</t>
        </is>
      </c>
      <c r="G26" s="77" t="inlineStr">
        <is>
          <t>P</t>
        </is>
      </c>
      <c r="H26" s="77" t="inlineStr">
        <is>
          <t>P</t>
        </is>
      </c>
      <c r="I26" s="77" t="inlineStr">
        <is>
          <t>P</t>
        </is>
      </c>
      <c r="J26" s="77" t="inlineStr">
        <is>
          <t>P</t>
        </is>
      </c>
      <c r="K26" s="77" t="inlineStr">
        <is>
          <t>P</t>
        </is>
      </c>
      <c r="L26" s="77" t="inlineStr">
        <is>
          <t>WO</t>
        </is>
      </c>
      <c r="M26" s="77" t="inlineStr">
        <is>
          <t>P</t>
        </is>
      </c>
      <c r="N26" s="77" t="inlineStr">
        <is>
          <t>P</t>
        </is>
      </c>
      <c r="O26" s="77" t="inlineStr">
        <is>
          <t>P</t>
        </is>
      </c>
      <c r="P26" s="77" t="inlineStr">
        <is>
          <t>P</t>
        </is>
      </c>
      <c r="Q26" s="77" t="inlineStr">
        <is>
          <t>P</t>
        </is>
      </c>
      <c r="R26" s="77" t="inlineStr">
        <is>
          <t>P</t>
        </is>
      </c>
      <c r="S26" s="77" t="inlineStr">
        <is>
          <t>WO</t>
        </is>
      </c>
      <c r="T26" s="77" t="inlineStr">
        <is>
          <t>P</t>
        </is>
      </c>
      <c r="U26" s="77" t="inlineStr">
        <is>
          <t>P</t>
        </is>
      </c>
      <c r="V26" s="77" t="inlineStr">
        <is>
          <t>P</t>
        </is>
      </c>
      <c r="W26" s="77" t="inlineStr">
        <is>
          <t>P</t>
        </is>
      </c>
      <c r="X26" s="77" t="inlineStr">
        <is>
          <t>P</t>
        </is>
      </c>
      <c r="Y26" s="77" t="inlineStr">
        <is>
          <t>P</t>
        </is>
      </c>
      <c r="Z26" s="77" t="inlineStr">
        <is>
          <t>WO</t>
        </is>
      </c>
      <c r="AA26" s="77" t="inlineStr">
        <is>
          <t>P</t>
        </is>
      </c>
      <c r="AB26" s="77" t="inlineStr">
        <is>
          <t>P</t>
        </is>
      </c>
      <c r="AC26" s="77" t="inlineStr">
        <is>
          <t>P</t>
        </is>
      </c>
      <c r="AD26" s="77" t="inlineStr">
        <is>
          <t>P</t>
        </is>
      </c>
      <c r="AE26" s="77" t="inlineStr">
        <is>
          <t>P</t>
        </is>
      </c>
      <c r="AF26" s="77" t="inlineStr">
        <is>
          <t>P</t>
        </is>
      </c>
      <c r="AG26" s="77" t="inlineStr">
        <is>
          <t>WO</t>
        </is>
      </c>
      <c r="AH26" s="77" t="inlineStr">
        <is>
          <t>L</t>
        </is>
      </c>
      <c r="AI26" s="77" t="inlineStr"/>
      <c r="AJ26" s="78">
        <f>COUNTIF(E26:AI26,"P")+COUNTIF(E26:AI26,"L")+COUNTIF(E26:AI26,"WFO")+COUNTIF(E26:AI26,"OT")</f>
        <v/>
      </c>
      <c r="AK26" s="78">
        <f>COUNTIF(E26:AI26,"A")</f>
        <v/>
      </c>
      <c r="AL26" s="78">
        <f>COUNTIF(E26:AI26,"L")</f>
        <v/>
      </c>
      <c r="AM26" s="78">
        <f>COUNTIF(E26:AI26,"HD")</f>
        <v/>
      </c>
      <c r="AN26" s="78">
        <f>COUNTIF(E26:AI26,"PL")+COUNTIF(E26:AI26,"UL")+COUNTIF(E26:AI26,"VL")+COUNTIF(E26:AI26,"SL")</f>
        <v/>
      </c>
      <c r="AO26" s="78">
        <f>COUNTIF(E26:AI26,"WO")+COUNTIF(E26:AI26,"H")</f>
        <v/>
      </c>
      <c r="AP26" s="78">
        <f>'03_Roster'!AK26</f>
        <v/>
      </c>
      <c r="AQ26" s="79">
        <f>IFERROR((AJ26+AM26*0.5)/(COUNTA(E26:AI26)-AO26),"")</f>
        <v/>
      </c>
    </row>
    <row r="27" ht="18" customHeight="1">
      <c r="A27" s="33">
        <f>'02_Employee_Master'!A25</f>
        <v/>
      </c>
      <c r="B27" s="11">
        <f>'02_Employee_Master'!B25</f>
        <v/>
      </c>
      <c r="C27" s="11">
        <f>'02_Employee_Master'!D25</f>
        <v/>
      </c>
      <c r="D27" s="11">
        <f>'02_Employee_Master'!C25</f>
        <v/>
      </c>
      <c r="E27" s="80" t="inlineStr"/>
      <c r="F27" s="80" t="inlineStr"/>
      <c r="G27" s="80" t="inlineStr"/>
      <c r="H27" s="80" t="inlineStr"/>
      <c r="I27" s="80" t="inlineStr"/>
      <c r="J27" s="80" t="inlineStr"/>
      <c r="K27" s="80" t="inlineStr"/>
      <c r="L27" s="80" t="inlineStr"/>
      <c r="M27" s="80" t="inlineStr"/>
      <c r="N27" s="80" t="inlineStr"/>
      <c r="O27" s="80" t="inlineStr"/>
      <c r="P27" s="80" t="inlineStr"/>
      <c r="Q27" s="80" t="inlineStr"/>
      <c r="R27" s="80" t="inlineStr"/>
      <c r="S27" s="80" t="inlineStr"/>
      <c r="T27" s="80" t="inlineStr"/>
      <c r="U27" s="80" t="inlineStr"/>
      <c r="V27" s="80" t="inlineStr"/>
      <c r="W27" s="80" t="inlineStr"/>
      <c r="X27" s="80" t="inlineStr"/>
      <c r="Y27" s="80" t="inlineStr"/>
      <c r="Z27" s="80" t="inlineStr"/>
      <c r="AA27" s="80" t="inlineStr"/>
      <c r="AB27" s="80" t="inlineStr"/>
      <c r="AC27" s="80" t="inlineStr"/>
      <c r="AD27" s="80" t="inlineStr"/>
      <c r="AE27" s="80" t="inlineStr"/>
      <c r="AF27" s="80" t="inlineStr"/>
      <c r="AG27" s="80" t="inlineStr"/>
      <c r="AH27" s="80" t="inlineStr"/>
      <c r="AI27" s="80" t="inlineStr"/>
      <c r="AJ27" s="81">
        <f>COUNTIF(E27:AI27,"P")+COUNTIF(E27:AI27,"L")+COUNTIF(E27:AI27,"WFO")+COUNTIF(E27:AI27,"OT")</f>
        <v/>
      </c>
      <c r="AK27" s="81">
        <f>COUNTIF(E27:AI27,"A")</f>
        <v/>
      </c>
      <c r="AL27" s="81">
        <f>COUNTIF(E27:AI27,"L")</f>
        <v/>
      </c>
      <c r="AM27" s="81">
        <f>COUNTIF(E27:AI27,"HD")</f>
        <v/>
      </c>
      <c r="AN27" s="81">
        <f>COUNTIF(E27:AI27,"PL")+COUNTIF(E27:AI27,"UL")+COUNTIF(E27:AI27,"VL")+COUNTIF(E27:AI27,"SL")</f>
        <v/>
      </c>
      <c r="AO27" s="81">
        <f>COUNTIF(E27:AI27,"WO")+COUNTIF(E27:AI27,"H")</f>
        <v/>
      </c>
      <c r="AP27" s="81">
        <f>'03_Roster'!AK27</f>
        <v/>
      </c>
      <c r="AQ27" s="82">
        <f>IFERROR((AJ27+AM27*0.5)/(COUNTA(E27:AI27)-AO27),"")</f>
        <v/>
      </c>
    </row>
    <row r="28">
      <c r="A28" s="61" t="inlineStr">
        <is>
          <t>Present headcount (P+L+WFO+OT)</t>
        </is>
      </c>
      <c r="B28" s="13" t="n"/>
      <c r="C28" s="13" t="n"/>
      <c r="D28" s="13" t="n"/>
      <c r="E28" s="58">
        <f>IF(E$6&gt;DAY(DATE('03_Roster'!$D$5,'03_Roster'!$B$5+1,0)),"",COUNTIF(E8:E27,"P")+COUNTIF(E8:E27,"L")+COUNTIF(E8:E27,"WFO")+COUNTIF(E8:E27,"OT"))</f>
        <v/>
      </c>
      <c r="F28" s="58">
        <f>IF(F$6&gt;DAY(DATE('03_Roster'!$D$5,'03_Roster'!$B$5+1,0)),"",COUNTIF(F8:F27,"P")+COUNTIF(F8:F27,"L")+COUNTIF(F8:F27,"WFO")+COUNTIF(F8:F27,"OT"))</f>
        <v/>
      </c>
      <c r="G28" s="58">
        <f>IF(G$6&gt;DAY(DATE('03_Roster'!$D$5,'03_Roster'!$B$5+1,0)),"",COUNTIF(G8:G27,"P")+COUNTIF(G8:G27,"L")+COUNTIF(G8:G27,"WFO")+COUNTIF(G8:G27,"OT"))</f>
        <v/>
      </c>
      <c r="H28" s="58">
        <f>IF(H$6&gt;DAY(DATE('03_Roster'!$D$5,'03_Roster'!$B$5+1,0)),"",COUNTIF(H8:H27,"P")+COUNTIF(H8:H27,"L")+COUNTIF(H8:H27,"WFO")+COUNTIF(H8:H27,"OT"))</f>
        <v/>
      </c>
      <c r="I28" s="58">
        <f>IF(I$6&gt;DAY(DATE('03_Roster'!$D$5,'03_Roster'!$B$5+1,0)),"",COUNTIF(I8:I27,"P")+COUNTIF(I8:I27,"L")+COUNTIF(I8:I27,"WFO")+COUNTIF(I8:I27,"OT"))</f>
        <v/>
      </c>
      <c r="J28" s="58">
        <f>IF(J$6&gt;DAY(DATE('03_Roster'!$D$5,'03_Roster'!$B$5+1,0)),"",COUNTIF(J8:J27,"P")+COUNTIF(J8:J27,"L")+COUNTIF(J8:J27,"WFO")+COUNTIF(J8:J27,"OT"))</f>
        <v/>
      </c>
      <c r="K28" s="58">
        <f>IF(K$6&gt;DAY(DATE('03_Roster'!$D$5,'03_Roster'!$B$5+1,0)),"",COUNTIF(K8:K27,"P")+COUNTIF(K8:K27,"L")+COUNTIF(K8:K27,"WFO")+COUNTIF(K8:K27,"OT"))</f>
        <v/>
      </c>
      <c r="L28" s="58">
        <f>IF(L$6&gt;DAY(DATE('03_Roster'!$D$5,'03_Roster'!$B$5+1,0)),"",COUNTIF(L8:L27,"P")+COUNTIF(L8:L27,"L")+COUNTIF(L8:L27,"WFO")+COUNTIF(L8:L27,"OT"))</f>
        <v/>
      </c>
      <c r="M28" s="58">
        <f>IF(M$6&gt;DAY(DATE('03_Roster'!$D$5,'03_Roster'!$B$5+1,0)),"",COUNTIF(M8:M27,"P")+COUNTIF(M8:M27,"L")+COUNTIF(M8:M27,"WFO")+COUNTIF(M8:M27,"OT"))</f>
        <v/>
      </c>
      <c r="N28" s="58">
        <f>IF(N$6&gt;DAY(DATE('03_Roster'!$D$5,'03_Roster'!$B$5+1,0)),"",COUNTIF(N8:N27,"P")+COUNTIF(N8:N27,"L")+COUNTIF(N8:N27,"WFO")+COUNTIF(N8:N27,"OT"))</f>
        <v/>
      </c>
      <c r="O28" s="58">
        <f>IF(O$6&gt;DAY(DATE('03_Roster'!$D$5,'03_Roster'!$B$5+1,0)),"",COUNTIF(O8:O27,"P")+COUNTIF(O8:O27,"L")+COUNTIF(O8:O27,"WFO")+COUNTIF(O8:O27,"OT"))</f>
        <v/>
      </c>
      <c r="P28" s="58">
        <f>IF(P$6&gt;DAY(DATE('03_Roster'!$D$5,'03_Roster'!$B$5+1,0)),"",COUNTIF(P8:P27,"P")+COUNTIF(P8:P27,"L")+COUNTIF(P8:P27,"WFO")+COUNTIF(P8:P27,"OT"))</f>
        <v/>
      </c>
      <c r="Q28" s="58">
        <f>IF(Q$6&gt;DAY(DATE('03_Roster'!$D$5,'03_Roster'!$B$5+1,0)),"",COUNTIF(Q8:Q27,"P")+COUNTIF(Q8:Q27,"L")+COUNTIF(Q8:Q27,"WFO")+COUNTIF(Q8:Q27,"OT"))</f>
        <v/>
      </c>
      <c r="R28" s="58">
        <f>IF(R$6&gt;DAY(DATE('03_Roster'!$D$5,'03_Roster'!$B$5+1,0)),"",COUNTIF(R8:R27,"P")+COUNTIF(R8:R27,"L")+COUNTIF(R8:R27,"WFO")+COUNTIF(R8:R27,"OT"))</f>
        <v/>
      </c>
      <c r="S28" s="58">
        <f>IF(S$6&gt;DAY(DATE('03_Roster'!$D$5,'03_Roster'!$B$5+1,0)),"",COUNTIF(S8:S27,"P")+COUNTIF(S8:S27,"L")+COUNTIF(S8:S27,"WFO")+COUNTIF(S8:S27,"OT"))</f>
        <v/>
      </c>
      <c r="T28" s="58">
        <f>IF(T$6&gt;DAY(DATE('03_Roster'!$D$5,'03_Roster'!$B$5+1,0)),"",COUNTIF(T8:T27,"P")+COUNTIF(T8:T27,"L")+COUNTIF(T8:T27,"WFO")+COUNTIF(T8:T27,"OT"))</f>
        <v/>
      </c>
      <c r="U28" s="58">
        <f>IF(U$6&gt;DAY(DATE('03_Roster'!$D$5,'03_Roster'!$B$5+1,0)),"",COUNTIF(U8:U27,"P")+COUNTIF(U8:U27,"L")+COUNTIF(U8:U27,"WFO")+COUNTIF(U8:U27,"OT"))</f>
        <v/>
      </c>
      <c r="V28" s="58">
        <f>IF(V$6&gt;DAY(DATE('03_Roster'!$D$5,'03_Roster'!$B$5+1,0)),"",COUNTIF(V8:V27,"P")+COUNTIF(V8:V27,"L")+COUNTIF(V8:V27,"WFO")+COUNTIF(V8:V27,"OT"))</f>
        <v/>
      </c>
      <c r="W28" s="58">
        <f>IF(W$6&gt;DAY(DATE('03_Roster'!$D$5,'03_Roster'!$B$5+1,0)),"",COUNTIF(W8:W27,"P")+COUNTIF(W8:W27,"L")+COUNTIF(W8:W27,"WFO")+COUNTIF(W8:W27,"OT"))</f>
        <v/>
      </c>
      <c r="X28" s="58">
        <f>IF(X$6&gt;DAY(DATE('03_Roster'!$D$5,'03_Roster'!$B$5+1,0)),"",COUNTIF(X8:X27,"P")+COUNTIF(X8:X27,"L")+COUNTIF(X8:X27,"WFO")+COUNTIF(X8:X27,"OT"))</f>
        <v/>
      </c>
      <c r="Y28" s="58">
        <f>IF(Y$6&gt;DAY(DATE('03_Roster'!$D$5,'03_Roster'!$B$5+1,0)),"",COUNTIF(Y8:Y27,"P")+COUNTIF(Y8:Y27,"L")+COUNTIF(Y8:Y27,"WFO")+COUNTIF(Y8:Y27,"OT"))</f>
        <v/>
      </c>
      <c r="Z28" s="58">
        <f>IF(Z$6&gt;DAY(DATE('03_Roster'!$D$5,'03_Roster'!$B$5+1,0)),"",COUNTIF(Z8:Z27,"P")+COUNTIF(Z8:Z27,"L")+COUNTIF(Z8:Z27,"WFO")+COUNTIF(Z8:Z27,"OT"))</f>
        <v/>
      </c>
      <c r="AA28" s="58">
        <f>IF(AA$6&gt;DAY(DATE('03_Roster'!$D$5,'03_Roster'!$B$5+1,0)),"",COUNTIF(AA8:AA27,"P")+COUNTIF(AA8:AA27,"L")+COUNTIF(AA8:AA27,"WFO")+COUNTIF(AA8:AA27,"OT"))</f>
        <v/>
      </c>
      <c r="AB28" s="58">
        <f>IF(AB$6&gt;DAY(DATE('03_Roster'!$D$5,'03_Roster'!$B$5+1,0)),"",COUNTIF(AB8:AB27,"P")+COUNTIF(AB8:AB27,"L")+COUNTIF(AB8:AB27,"WFO")+COUNTIF(AB8:AB27,"OT"))</f>
        <v/>
      </c>
      <c r="AC28" s="58">
        <f>IF(AC$6&gt;DAY(DATE('03_Roster'!$D$5,'03_Roster'!$B$5+1,0)),"",COUNTIF(AC8:AC27,"P")+COUNTIF(AC8:AC27,"L")+COUNTIF(AC8:AC27,"WFO")+COUNTIF(AC8:AC27,"OT"))</f>
        <v/>
      </c>
      <c r="AD28" s="58">
        <f>IF(AD$6&gt;DAY(DATE('03_Roster'!$D$5,'03_Roster'!$B$5+1,0)),"",COUNTIF(AD8:AD27,"P")+COUNTIF(AD8:AD27,"L")+COUNTIF(AD8:AD27,"WFO")+COUNTIF(AD8:AD27,"OT"))</f>
        <v/>
      </c>
      <c r="AE28" s="58">
        <f>IF(AE$6&gt;DAY(DATE('03_Roster'!$D$5,'03_Roster'!$B$5+1,0)),"",COUNTIF(AE8:AE27,"P")+COUNTIF(AE8:AE27,"L")+COUNTIF(AE8:AE27,"WFO")+COUNTIF(AE8:AE27,"OT"))</f>
        <v/>
      </c>
      <c r="AF28" s="58">
        <f>IF(AF$6&gt;DAY(DATE('03_Roster'!$D$5,'03_Roster'!$B$5+1,0)),"",COUNTIF(AF8:AF27,"P")+COUNTIF(AF8:AF27,"L")+COUNTIF(AF8:AF27,"WFO")+COUNTIF(AF8:AF27,"OT"))</f>
        <v/>
      </c>
      <c r="AG28" s="58">
        <f>IF(AG$6&gt;DAY(DATE('03_Roster'!$D$5,'03_Roster'!$B$5+1,0)),"",COUNTIF(AG8:AG27,"P")+COUNTIF(AG8:AG27,"L")+COUNTIF(AG8:AG27,"WFO")+COUNTIF(AG8:AG27,"OT"))</f>
        <v/>
      </c>
      <c r="AH28" s="58">
        <f>IF(AH$6&gt;DAY(DATE('03_Roster'!$D$5,'03_Roster'!$B$5+1,0)),"",COUNTIF(AH8:AH27,"P")+COUNTIF(AH8:AH27,"L")+COUNTIF(AH8:AH27,"WFO")+COUNTIF(AH8:AH27,"OT"))</f>
        <v/>
      </c>
      <c r="AI28" s="58">
        <f>IF(AI$6&gt;DAY(DATE('03_Roster'!$D$5,'03_Roster'!$B$5+1,0)),"",COUNTIF(AI8:AI27,"P")+COUNTIF(AI8:AI27,"L")+COUNTIF(AI8:AI27,"WFO")+COUNTIF(AI8:AI27,"OT"))</f>
        <v/>
      </c>
    </row>
  </sheetData>
  <mergeCells count="5">
    <mergeCell ref="E5:N5"/>
    <mergeCell ref="A3:AQ3"/>
    <mergeCell ref="A2:AQ2"/>
    <mergeCell ref="A1:AQ1"/>
    <mergeCell ref="A28:D28"/>
  </mergeCells>
  <conditionalFormatting sqref="E8:AI27">
    <cfRule type="cellIs" priority="1" operator="equal" dxfId="18">
      <formula>"P"</formula>
    </cfRule>
    <cfRule type="cellIs" priority="2" operator="equal" dxfId="19">
      <formula>"A"</formula>
    </cfRule>
    <cfRule type="cellIs" priority="3" operator="equal" dxfId="20">
      <formula>"L"</formula>
    </cfRule>
    <cfRule type="cellIs" priority="4" operator="equal" dxfId="21">
      <formula>"HD"</formula>
    </cfRule>
    <cfRule type="cellIs" priority="5" operator="equal" dxfId="22">
      <formula>"WFO"</formula>
    </cfRule>
    <cfRule type="cellIs" priority="6" operator="equal" dxfId="23">
      <formula>"PL"</formula>
    </cfRule>
    <cfRule type="cellIs" priority="7" operator="equal" dxfId="24">
      <formula>"UL"</formula>
    </cfRule>
    <cfRule type="cellIs" priority="8" operator="equal" dxfId="25">
      <formula>"VL"</formula>
    </cfRule>
    <cfRule type="cellIs" priority="9" operator="equal" dxfId="26">
      <formula>"SL"</formula>
    </cfRule>
    <cfRule type="cellIs" priority="10" operator="equal" dxfId="27">
      <formula>"H"</formula>
    </cfRule>
    <cfRule type="cellIs" priority="11" operator="equal" dxfId="27">
      <formula>"WO"</formula>
    </cfRule>
    <cfRule type="cellIs" priority="12" operator="equal" dxfId="28">
      <formula>"OT"</formula>
    </cfRule>
  </conditionalFormatting>
  <conditionalFormatting sqref="E7:E27">
    <cfRule type="expression" priority="13" dxfId="29">
      <formula>E$6&gt;DAY(DATE('03_Roster'!$D$5,'03_Roster'!$B$5+1,0))</formula>
    </cfRule>
  </conditionalFormatting>
  <conditionalFormatting sqref="F7:F27">
    <cfRule type="expression" priority="14" dxfId="29">
      <formula>F$6&gt;DAY(DATE('03_Roster'!$D$5,'03_Roster'!$B$5+1,0))</formula>
    </cfRule>
  </conditionalFormatting>
  <conditionalFormatting sqref="G7:G27">
    <cfRule type="expression" priority="15" dxfId="29">
      <formula>G$6&gt;DAY(DATE('03_Roster'!$D$5,'03_Roster'!$B$5+1,0))</formula>
    </cfRule>
  </conditionalFormatting>
  <conditionalFormatting sqref="H7:H27">
    <cfRule type="expression" priority="16" dxfId="29">
      <formula>H$6&gt;DAY(DATE('03_Roster'!$D$5,'03_Roster'!$B$5+1,0))</formula>
    </cfRule>
  </conditionalFormatting>
  <conditionalFormatting sqref="I7:I27">
    <cfRule type="expression" priority="17" dxfId="29">
      <formula>I$6&gt;DAY(DATE('03_Roster'!$D$5,'03_Roster'!$B$5+1,0))</formula>
    </cfRule>
  </conditionalFormatting>
  <conditionalFormatting sqref="J7:J27">
    <cfRule type="expression" priority="18" dxfId="29">
      <formula>J$6&gt;DAY(DATE('03_Roster'!$D$5,'03_Roster'!$B$5+1,0))</formula>
    </cfRule>
  </conditionalFormatting>
  <conditionalFormatting sqref="K7:K27">
    <cfRule type="expression" priority="19" dxfId="29">
      <formula>K$6&gt;DAY(DATE('03_Roster'!$D$5,'03_Roster'!$B$5+1,0))</formula>
    </cfRule>
  </conditionalFormatting>
  <conditionalFormatting sqref="L7:L27">
    <cfRule type="expression" priority="20" dxfId="29">
      <formula>L$6&gt;DAY(DATE('03_Roster'!$D$5,'03_Roster'!$B$5+1,0))</formula>
    </cfRule>
  </conditionalFormatting>
  <conditionalFormatting sqref="M7:M27">
    <cfRule type="expression" priority="21" dxfId="29">
      <formula>M$6&gt;DAY(DATE('03_Roster'!$D$5,'03_Roster'!$B$5+1,0))</formula>
    </cfRule>
  </conditionalFormatting>
  <conditionalFormatting sqref="N7:N27">
    <cfRule type="expression" priority="22" dxfId="29">
      <formula>N$6&gt;DAY(DATE('03_Roster'!$D$5,'03_Roster'!$B$5+1,0))</formula>
    </cfRule>
  </conditionalFormatting>
  <conditionalFormatting sqref="O7:O27">
    <cfRule type="expression" priority="23" dxfId="29">
      <formula>O$6&gt;DAY(DATE('03_Roster'!$D$5,'03_Roster'!$B$5+1,0))</formula>
    </cfRule>
  </conditionalFormatting>
  <conditionalFormatting sqref="P7:P27">
    <cfRule type="expression" priority="24" dxfId="29">
      <formula>P$6&gt;DAY(DATE('03_Roster'!$D$5,'03_Roster'!$B$5+1,0))</formula>
    </cfRule>
  </conditionalFormatting>
  <conditionalFormatting sqref="Q7:Q27">
    <cfRule type="expression" priority="25" dxfId="29">
      <formula>Q$6&gt;DAY(DATE('03_Roster'!$D$5,'03_Roster'!$B$5+1,0))</formula>
    </cfRule>
  </conditionalFormatting>
  <conditionalFormatting sqref="R7:R27">
    <cfRule type="expression" priority="26" dxfId="29">
      <formula>R$6&gt;DAY(DATE('03_Roster'!$D$5,'03_Roster'!$B$5+1,0))</formula>
    </cfRule>
  </conditionalFormatting>
  <conditionalFormatting sqref="S7:S27">
    <cfRule type="expression" priority="27" dxfId="29">
      <formula>S$6&gt;DAY(DATE('03_Roster'!$D$5,'03_Roster'!$B$5+1,0))</formula>
    </cfRule>
  </conditionalFormatting>
  <conditionalFormatting sqref="T7:T27">
    <cfRule type="expression" priority="28" dxfId="29">
      <formula>T$6&gt;DAY(DATE('03_Roster'!$D$5,'03_Roster'!$B$5+1,0))</formula>
    </cfRule>
  </conditionalFormatting>
  <conditionalFormatting sqref="U7:U27">
    <cfRule type="expression" priority="29" dxfId="29">
      <formula>U$6&gt;DAY(DATE('03_Roster'!$D$5,'03_Roster'!$B$5+1,0))</formula>
    </cfRule>
  </conditionalFormatting>
  <conditionalFormatting sqref="V7:V27">
    <cfRule type="expression" priority="30" dxfId="29">
      <formula>V$6&gt;DAY(DATE('03_Roster'!$D$5,'03_Roster'!$B$5+1,0))</formula>
    </cfRule>
  </conditionalFormatting>
  <conditionalFormatting sqref="W7:W27">
    <cfRule type="expression" priority="31" dxfId="29">
      <formula>W$6&gt;DAY(DATE('03_Roster'!$D$5,'03_Roster'!$B$5+1,0))</formula>
    </cfRule>
  </conditionalFormatting>
  <conditionalFormatting sqref="X7:X27">
    <cfRule type="expression" priority="32" dxfId="29">
      <formula>X$6&gt;DAY(DATE('03_Roster'!$D$5,'03_Roster'!$B$5+1,0))</formula>
    </cfRule>
  </conditionalFormatting>
  <conditionalFormatting sqref="Y7:Y27">
    <cfRule type="expression" priority="33" dxfId="29">
      <formula>Y$6&gt;DAY(DATE('03_Roster'!$D$5,'03_Roster'!$B$5+1,0))</formula>
    </cfRule>
  </conditionalFormatting>
  <conditionalFormatting sqref="Z7:Z27">
    <cfRule type="expression" priority="34" dxfId="29">
      <formula>Z$6&gt;DAY(DATE('03_Roster'!$D$5,'03_Roster'!$B$5+1,0))</formula>
    </cfRule>
  </conditionalFormatting>
  <conditionalFormatting sqref="AA7:AA27">
    <cfRule type="expression" priority="35" dxfId="29">
      <formula>AA$6&gt;DAY(DATE('03_Roster'!$D$5,'03_Roster'!$B$5+1,0))</formula>
    </cfRule>
  </conditionalFormatting>
  <conditionalFormatting sqref="AB7:AB27">
    <cfRule type="expression" priority="36" dxfId="29">
      <formula>AB$6&gt;DAY(DATE('03_Roster'!$D$5,'03_Roster'!$B$5+1,0))</formula>
    </cfRule>
  </conditionalFormatting>
  <conditionalFormatting sqref="AC7:AC27">
    <cfRule type="expression" priority="37" dxfId="29">
      <formula>AC$6&gt;DAY(DATE('03_Roster'!$D$5,'03_Roster'!$B$5+1,0))</formula>
    </cfRule>
  </conditionalFormatting>
  <conditionalFormatting sqref="AD7:AD27">
    <cfRule type="expression" priority="38" dxfId="29">
      <formula>AD$6&gt;DAY(DATE('03_Roster'!$D$5,'03_Roster'!$B$5+1,0))</formula>
    </cfRule>
  </conditionalFormatting>
  <conditionalFormatting sqref="AE7:AE27">
    <cfRule type="expression" priority="39" dxfId="29">
      <formula>AE$6&gt;DAY(DATE('03_Roster'!$D$5,'03_Roster'!$B$5+1,0))</formula>
    </cfRule>
  </conditionalFormatting>
  <conditionalFormatting sqref="AF7:AF27">
    <cfRule type="expression" priority="40" dxfId="29">
      <formula>AF$6&gt;DAY(DATE('03_Roster'!$D$5,'03_Roster'!$B$5+1,0))</formula>
    </cfRule>
  </conditionalFormatting>
  <conditionalFormatting sqref="AG7:AG27">
    <cfRule type="expression" priority="41" dxfId="29">
      <formula>AG$6&gt;DAY(DATE('03_Roster'!$D$5,'03_Roster'!$B$5+1,0))</formula>
    </cfRule>
  </conditionalFormatting>
  <conditionalFormatting sqref="AH7:AH27">
    <cfRule type="expression" priority="42" dxfId="29">
      <formula>AH$6&gt;DAY(DATE('03_Roster'!$D$5,'03_Roster'!$B$5+1,0))</formula>
    </cfRule>
  </conditionalFormatting>
  <conditionalFormatting sqref="AI7:AI27">
    <cfRule type="expression" priority="43" dxfId="29">
      <formula>AI$6&gt;DAY(DATE('03_Roster'!$D$5,'03_Roster'!$B$5+1,0))</formula>
    </cfRule>
  </conditionalFormatting>
  <conditionalFormatting sqref="AQ8:AQ27">
    <cfRule type="colorScale" priority="44">
      <colorScale>
        <cfvo type="num" val="0.7"/>
        <cfvo type="num" val="0.9"/>
        <cfvo type="num" val="1"/>
        <color rgb="00F8D7DA"/>
        <color rgb="00FFF3CD"/>
        <color rgb="00D4EDDA"/>
      </colorScale>
    </cfRule>
  </conditionalFormatting>
  <dataValidations count="1">
    <dataValidation sqref="E8 E9 E10 E11 E12 E13 E14 E15 E16 E17 E18 E19 E20 E21 E22 E23 E24 E25 E26 E27 F8 F9 F10 F11 F12 F13 F14 F15 F16 F17 F18 F19 F20 F21 F22 F23 F24 F25 F26 F27 G8 G9 G10 G11 G12 G13 G14 G15 G16 G17 G18 G19 G20 G21 G22 G23 G24 G25 G26 G27 H8 H9 H10 H11 H12 H13 H14 H15 H16 H17 H18 H19 H20 H21 H22 H23 H24 H25 H26 H27 I8 I9 I10 I11 I12 I13 I14 I15 I16 I17 I18 I19 I20 I21 I22 I23 I24 I25 I26 I27 J8 J9 J10 J11 J12 J13 J14 J15 J16 J17 J18 J19 J20 J21 J22 J23 J24 J25 J26 J27 K8 K9 K10 K11 K12 K13 K14 K15 K16 K17 K18 K19 K20 K21 K22 K23 K24 K25 K26 K27 L8 L9 L10 L11 L12 L13 L14 L15 L16 L17 L18 L19 L20 L21 L22 L23 L24 L25 L26 L27 M8 M9 M10 M11 M12 M13 M14 M15 M16 M17 M18 M19 M20 M21 M22 M23 M24 M25 M26 M27 N8 N9 N10 N11 N12 N13 N14 N15 N16 N17 N18 N19 N20 N21 N22 N23 N24 N25 N26 N27 O8 O9 O10 O11 O12 O13 O14 O15 O16 O17 O18 O19 O20 O21 O22 O23 O24 O25 O26 O27 P8 P9 P10 P11 P12 P13 P14 P15 P16 P17 P18 P19 P20 P21 P22 P23 P24 P25 P26 P27 Q8 Q9 Q10 Q11 Q12 Q13 Q14 Q15 Q16 Q17 Q18 Q19 Q20 Q21 Q22 Q23 Q24 Q25 Q26 Q27 R8 R9 R10 R11 R12 R13 R14 R15 R16 R17 R18 R19 R20 R21 R22 R23 R24 R25 R26 R27 S8 S9 S10 S11 S12 S13 S14 S15 S16 S17 S18 S19 S20 S21 S22 S23 S24 S25 S26 S27 T8 T9 T10 T11 T12 T13 T14 T15 T16 T17 T18 T19 T20 T21 T22 T23 T24 T25 T26 T27 U8 U9 U10 U11 U12 U13 U14 U15 U16 U17 U18 U19 U20 U21 U22 U23 U24 U25 U26 U27 V8 V9 V10 V11 V12 V13 V14 V15 V16 V17 V18 V19 V20 V21 V22 V23 V24 V25 V26 V27 W8 W9 W10 W11 W12 W13 W14 W15 W16 W17 W18 W19 W20 W21 W22 W23 W24 W25 W26 W27 X8 X9 X10 X11 X12 X13 X14 X15 X16 X17 X18 X19 X20 X21 X22 X23 X24 X25 X26 X27 Y8 Y9 Y10 Y11 Y12 Y13 Y14 Y15 Y16 Y17 Y18 Y19 Y20 Y21 Y22 Y23 Y24 Y25 Y26 Y27 Z8 Z9 Z10 Z11 Z12 Z13 Z14 Z15 Z16 Z17 Z18 Z19 Z20 Z21 Z22 Z23 Z24 Z25 Z26 Z27 AA8 AA9 AA10 AA11 AA12 AA13 AA14 AA15 AA16 AA17 AA18 AA19 AA20 AA21 AA22 AA23 AA24 AA25 AA26 AA27 AB8 AB9 AB10 AB11 AB12 AB13 AB14 AB15 AB16 AB17 AB18 AB19 AB20 AB21 AB22 AB23 AB24 AB25 AB26 AB27 AC8 AC9 AC10 AC11 AC12 AC13 AC14 AC15 AC16 AC17 AC18 AC19 AC20 AC21 AC22 AC23 AC24 AC25 AC26 AC27 AD8 AD9 AD10 AD11 AD12 AD13 AD14 AD15 AD16 AD17 AD18 AD19 AD20 AD21 AD22 AD23 AD24 AD25 AD26 AD27 AE8 AE9 AE10 AE11 AE12 AE13 AE14 AE15 AE16 AE17 AE18 AE19 AE20 AE21 AE22 AE23 AE24 AE25 AE26 AE27 AF8 AF9 AF10 AF11 AF12 AF13 AF14 AF15 AF16 AF17 AF18 AF19 AF20 AF21 AF22 AF23 AF24 AF25 AF26 AF27 AG8 AG9 AG10 AG11 AG12 AG13 AG14 AG15 AG16 AG17 AG18 AG19 AG20 AG21 AG22 AG23 AG24 AG25 AG26 AG27 AH8 AH9 AH10 AH11 AH12 AH13 AH14 AH15 AH16 AH17 AH18 AH19 AH20 AH21 AH22 AH23 AH24 AH25 AH26 AH27 AI8 AI9 AI10 AI11 AI12 AI13 AI14 AI15 AI16 AI17 AI18 AI19 AI20 AI21 AI22 AI23 AI24 AI25 AI26 AI27" showDropDown="0" showInputMessage="0" showErrorMessage="0" allowBlank="1" promptTitle="Attendance" prompt="Select attendance status" type="list">
      <formula1>"P,A,L,HD,WFO,PL,UL,VL,SL,H,WO,OT"</formula1>
    </dataValidation>
  </dataValidations>
  <pageMargins left="0.4" right="0.4" top="0.5" bottom="0.5" header="0.2" footer="0.2"/>
  <pageSetup orientation="landscape" paperSize="9" fitToHeight="0" fitToWidth="1"/>
</worksheet>
</file>

<file path=xl/worksheets/sheet11.xml><?xml version="1.0" encoding="utf-8"?>
<worksheet xmlns="http://schemas.openxmlformats.org/spreadsheetml/2006/main">
  <sheetPr>
    <tabColor rgb="005E35B1"/>
    <outlinePr summaryBelow="1" summaryRight="1"/>
    <pageSetUpPr fitToPage="1"/>
  </sheetPr>
  <dimension ref="A1:O79"/>
  <sheetViews>
    <sheetView showGridLines="0" zoomScale="90" workbookViewId="0">
      <pane xSplit="3" ySplit="6" topLeftCell="D7"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6" customWidth="1" min="3" max="3"/>
    <col width="10" customWidth="1" min="4" max="4"/>
    <col width="8" customWidth="1" min="5" max="5"/>
    <col width="10" customWidth="1" min="6" max="6"/>
    <col width="10" customWidth="1" min="7" max="7"/>
    <col width="8" customWidth="1" min="8" max="8"/>
    <col width="10" customWidth="1" min="9" max="9"/>
    <col width="10" customWidth="1" min="10" max="10"/>
    <col width="8" customWidth="1" min="11" max="11"/>
    <col width="10" customWidth="1" min="12" max="12"/>
    <col width="10" customWidth="1" min="13" max="13"/>
    <col width="8" customWidth="1" min="14" max="14"/>
    <col width="10" customWidth="1" min="15" max="15"/>
  </cols>
  <sheetData>
    <row r="1" ht="16" customHeight="1">
      <c r="A1" s="1" t="inlineStr">
        <is>
          <t>PATHCARE DIAGNOSTICS  ·  Pathology Laboratory</t>
        </is>
      </c>
      <c r="B1" s="2" t="n"/>
      <c r="C1" s="2" t="n"/>
      <c r="D1" s="2" t="n"/>
      <c r="E1" s="2" t="n"/>
      <c r="F1" s="2" t="n"/>
      <c r="G1" s="2" t="n"/>
      <c r="H1" s="2" t="n"/>
      <c r="I1" s="2" t="n"/>
      <c r="J1" s="2" t="n"/>
      <c r="K1" s="2" t="n"/>
      <c r="L1" s="2" t="n"/>
      <c r="M1" s="2" t="n"/>
      <c r="N1" s="2" t="n"/>
    </row>
    <row r="2" ht="26" customHeight="1">
      <c r="A2" s="3" t="inlineStr">
        <is>
          <t>LEAVE MANAGEMENT</t>
        </is>
      </c>
      <c r="B2" s="2" t="n"/>
      <c r="C2" s="2" t="n"/>
      <c r="D2" s="2" t="n"/>
      <c r="E2" s="2" t="n"/>
      <c r="F2" s="2" t="n"/>
      <c r="G2" s="2" t="n"/>
      <c r="H2" s="2" t="n"/>
      <c r="I2" s="2" t="n"/>
      <c r="J2" s="2" t="n"/>
      <c r="K2" s="2" t="n"/>
      <c r="L2" s="2" t="n"/>
      <c r="M2" s="2" t="n"/>
      <c r="N2" s="2" t="n"/>
    </row>
    <row r="3" ht="18" customHeight="1">
      <c r="A3" s="4" t="inlineStr">
        <is>
          <t>Applications · Balances · Approvals  ·  Entitlements from Config leave policy</t>
        </is>
      </c>
      <c r="B3" s="2" t="n"/>
      <c r="C3" s="2" t="n"/>
      <c r="D3" s="2" t="n"/>
      <c r="E3" s="2" t="n"/>
      <c r="F3" s="2" t="n"/>
      <c r="G3" s="2" t="n"/>
      <c r="H3" s="2" t="n"/>
      <c r="I3" s="2" t="n"/>
      <c r="J3" s="2" t="n"/>
      <c r="K3" s="2" t="n"/>
      <c r="L3" s="2" t="n"/>
      <c r="M3" s="2" t="n"/>
      <c r="N3" s="2" t="n"/>
    </row>
    <row r="5">
      <c r="A5" s="29" t="inlineStr">
        <is>
          <t>LEAVE BALANCE SUMMARY (auto from policy + applications)</t>
        </is>
      </c>
      <c r="B5" s="29" t="n"/>
      <c r="C5" s="29" t="n"/>
      <c r="D5" s="29" t="n"/>
      <c r="E5" s="29" t="n"/>
      <c r="F5" s="29" t="n"/>
      <c r="G5" s="29" t="n"/>
      <c r="H5" s="29" t="n"/>
      <c r="I5" s="29" t="n"/>
      <c r="J5" s="29" t="n"/>
      <c r="K5" s="29" t="n"/>
      <c r="L5" s="29" t="n"/>
      <c r="M5" s="29" t="n"/>
      <c r="N5" s="29" t="n"/>
      <c r="O5" s="29" t="n"/>
    </row>
    <row r="6">
      <c r="A6" s="7" t="inlineStr">
        <is>
          <t>Emp ID</t>
        </is>
      </c>
      <c r="B6" s="7" t="inlineStr">
        <is>
          <t>Employee Name</t>
        </is>
      </c>
      <c r="C6" s="7" t="inlineStr">
        <is>
          <t>Department</t>
        </is>
      </c>
      <c r="D6" s="7" t="inlineStr">
        <is>
          <t>PL Entitled</t>
        </is>
      </c>
      <c r="E6" s="7" t="inlineStr">
        <is>
          <t>PL Used</t>
        </is>
      </c>
      <c r="F6" s="7" t="inlineStr">
        <is>
          <t>PL Balance</t>
        </is>
      </c>
      <c r="G6" s="7" t="inlineStr">
        <is>
          <t>UL Entitled</t>
        </is>
      </c>
      <c r="H6" s="7" t="inlineStr">
        <is>
          <t>UL Used</t>
        </is>
      </c>
      <c r="I6" s="7" t="inlineStr">
        <is>
          <t>UL Balance</t>
        </is>
      </c>
      <c r="J6" s="7" t="inlineStr">
        <is>
          <t>SL Entitled</t>
        </is>
      </c>
      <c r="K6" s="7" t="inlineStr">
        <is>
          <t>SL Used</t>
        </is>
      </c>
      <c r="L6" s="7" t="inlineStr">
        <is>
          <t>SL Balance</t>
        </is>
      </c>
      <c r="M6" s="7" t="inlineStr">
        <is>
          <t>VL Entitled</t>
        </is>
      </c>
      <c r="N6" s="7" t="inlineStr">
        <is>
          <t>VL Used</t>
        </is>
      </c>
      <c r="O6" s="7" t="inlineStr">
        <is>
          <t>VL Balance</t>
        </is>
      </c>
    </row>
    <row r="7">
      <c r="A7" s="30">
        <f>'02_Employee_Master'!A6</f>
        <v/>
      </c>
      <c r="B7" s="9">
        <f>'02_Employee_Master'!B6</f>
        <v/>
      </c>
      <c r="C7" s="9">
        <f>'02_Employee_Master'!D6</f>
        <v/>
      </c>
      <c r="D7" s="30">
        <f>'01_Config'!G29</f>
        <v/>
      </c>
      <c r="E7" s="30">
        <f>SUMIFS($E$30:$E$79,$A$30:$A$79,A7,$D$30:$D$79,"Planned Leave",$H$30:$H$79,"Approved")</f>
        <v/>
      </c>
      <c r="F7" s="30">
        <f>D7-E7</f>
        <v/>
      </c>
      <c r="G7" s="30">
        <f>'01_Config'!G30</f>
        <v/>
      </c>
      <c r="H7" s="30">
        <f>SUMIFS($E$30:$E$79,$A$30:$A$79,A7,$D$30:$D$79,"Unplanned Leave",$H$30:$H$79,"Approved")</f>
        <v/>
      </c>
      <c r="I7" s="30">
        <f>G7-H7</f>
        <v/>
      </c>
      <c r="J7" s="30">
        <f>'01_Config'!G31</f>
        <v/>
      </c>
      <c r="K7" s="30">
        <f>SUMIFS($E$30:$E$79,$A$30:$A$79,A7,$D$30:$D$79,"Sick Leave",$H$30:$H$79,"Approved")</f>
        <v/>
      </c>
      <c r="L7" s="30">
        <f>J7-K7</f>
        <v/>
      </c>
      <c r="M7" s="30">
        <f>'01_Config'!G32</f>
        <v/>
      </c>
      <c r="N7" s="30">
        <f>SUMIFS($E$30:$E$79,$A$30:$A$79,A7,$D$30:$D$79,"Vacation Leave",$H$30:$H$79,"Approved")</f>
        <v/>
      </c>
      <c r="O7" s="30">
        <f>M7-N7</f>
        <v/>
      </c>
    </row>
    <row r="8">
      <c r="A8" s="33">
        <f>'02_Employee_Master'!A7</f>
        <v/>
      </c>
      <c r="B8" s="11">
        <f>'02_Employee_Master'!B7</f>
        <v/>
      </c>
      <c r="C8" s="11">
        <f>'02_Employee_Master'!D7</f>
        <v/>
      </c>
      <c r="D8" s="33">
        <f>'01_Config'!G29</f>
        <v/>
      </c>
      <c r="E8" s="33">
        <f>SUMIFS($E$30:$E$79,$A$30:$A$79,A8,$D$30:$D$79,"Planned Leave",$H$30:$H$79,"Approved")</f>
        <v/>
      </c>
      <c r="F8" s="33">
        <f>D8-E8</f>
        <v/>
      </c>
      <c r="G8" s="33">
        <f>'01_Config'!G30</f>
        <v/>
      </c>
      <c r="H8" s="33">
        <f>SUMIFS($E$30:$E$79,$A$30:$A$79,A8,$D$30:$D$79,"Unplanned Leave",$H$30:$H$79,"Approved")</f>
        <v/>
      </c>
      <c r="I8" s="33">
        <f>G8-H8</f>
        <v/>
      </c>
      <c r="J8" s="33">
        <f>'01_Config'!G31</f>
        <v/>
      </c>
      <c r="K8" s="33">
        <f>SUMIFS($E$30:$E$79,$A$30:$A$79,A8,$D$30:$D$79,"Sick Leave",$H$30:$H$79,"Approved")</f>
        <v/>
      </c>
      <c r="L8" s="33">
        <f>J8-K8</f>
        <v/>
      </c>
      <c r="M8" s="33">
        <f>'01_Config'!G32</f>
        <v/>
      </c>
      <c r="N8" s="33">
        <f>SUMIFS($E$30:$E$79,$A$30:$A$79,A8,$D$30:$D$79,"Vacation Leave",$H$30:$H$79,"Approved")</f>
        <v/>
      </c>
      <c r="O8" s="33">
        <f>M8-N8</f>
        <v/>
      </c>
    </row>
    <row r="9">
      <c r="A9" s="30">
        <f>'02_Employee_Master'!A8</f>
        <v/>
      </c>
      <c r="B9" s="9">
        <f>'02_Employee_Master'!B8</f>
        <v/>
      </c>
      <c r="C9" s="9">
        <f>'02_Employee_Master'!D8</f>
        <v/>
      </c>
      <c r="D9" s="30">
        <f>'01_Config'!G29</f>
        <v/>
      </c>
      <c r="E9" s="30">
        <f>SUMIFS($E$30:$E$79,$A$30:$A$79,A9,$D$30:$D$79,"Planned Leave",$H$30:$H$79,"Approved")</f>
        <v/>
      </c>
      <c r="F9" s="30">
        <f>D9-E9</f>
        <v/>
      </c>
      <c r="G9" s="30">
        <f>'01_Config'!G30</f>
        <v/>
      </c>
      <c r="H9" s="30">
        <f>SUMIFS($E$30:$E$79,$A$30:$A$79,A9,$D$30:$D$79,"Unplanned Leave",$H$30:$H$79,"Approved")</f>
        <v/>
      </c>
      <c r="I9" s="30">
        <f>G9-H9</f>
        <v/>
      </c>
      <c r="J9" s="30">
        <f>'01_Config'!G31</f>
        <v/>
      </c>
      <c r="K9" s="30">
        <f>SUMIFS($E$30:$E$79,$A$30:$A$79,A9,$D$30:$D$79,"Sick Leave",$H$30:$H$79,"Approved")</f>
        <v/>
      </c>
      <c r="L9" s="30">
        <f>J9-K9</f>
        <v/>
      </c>
      <c r="M9" s="30">
        <f>'01_Config'!G32</f>
        <v/>
      </c>
      <c r="N9" s="30">
        <f>SUMIFS($E$30:$E$79,$A$30:$A$79,A9,$D$30:$D$79,"Vacation Leave",$H$30:$H$79,"Approved")</f>
        <v/>
      </c>
      <c r="O9" s="30">
        <f>M9-N9</f>
        <v/>
      </c>
    </row>
    <row r="10">
      <c r="A10" s="33">
        <f>'02_Employee_Master'!A9</f>
        <v/>
      </c>
      <c r="B10" s="11">
        <f>'02_Employee_Master'!B9</f>
        <v/>
      </c>
      <c r="C10" s="11">
        <f>'02_Employee_Master'!D9</f>
        <v/>
      </c>
      <c r="D10" s="33">
        <f>'01_Config'!G29</f>
        <v/>
      </c>
      <c r="E10" s="33">
        <f>SUMIFS($E$30:$E$79,$A$30:$A$79,A10,$D$30:$D$79,"Planned Leave",$H$30:$H$79,"Approved")</f>
        <v/>
      </c>
      <c r="F10" s="33">
        <f>D10-E10</f>
        <v/>
      </c>
      <c r="G10" s="33">
        <f>'01_Config'!G30</f>
        <v/>
      </c>
      <c r="H10" s="33">
        <f>SUMIFS($E$30:$E$79,$A$30:$A$79,A10,$D$30:$D$79,"Unplanned Leave",$H$30:$H$79,"Approved")</f>
        <v/>
      </c>
      <c r="I10" s="33">
        <f>G10-H10</f>
        <v/>
      </c>
      <c r="J10" s="33">
        <f>'01_Config'!G31</f>
        <v/>
      </c>
      <c r="K10" s="33">
        <f>SUMIFS($E$30:$E$79,$A$30:$A$79,A10,$D$30:$D$79,"Sick Leave",$H$30:$H$79,"Approved")</f>
        <v/>
      </c>
      <c r="L10" s="33">
        <f>J10-K10</f>
        <v/>
      </c>
      <c r="M10" s="33">
        <f>'01_Config'!G32</f>
        <v/>
      </c>
      <c r="N10" s="33">
        <f>SUMIFS($E$30:$E$79,$A$30:$A$79,A10,$D$30:$D$79,"Vacation Leave",$H$30:$H$79,"Approved")</f>
        <v/>
      </c>
      <c r="O10" s="33">
        <f>M10-N10</f>
        <v/>
      </c>
    </row>
    <row r="11">
      <c r="A11" s="30">
        <f>'02_Employee_Master'!A10</f>
        <v/>
      </c>
      <c r="B11" s="9">
        <f>'02_Employee_Master'!B10</f>
        <v/>
      </c>
      <c r="C11" s="9">
        <f>'02_Employee_Master'!D10</f>
        <v/>
      </c>
      <c r="D11" s="30">
        <f>'01_Config'!G29</f>
        <v/>
      </c>
      <c r="E11" s="30">
        <f>SUMIFS($E$30:$E$79,$A$30:$A$79,A11,$D$30:$D$79,"Planned Leave",$H$30:$H$79,"Approved")</f>
        <v/>
      </c>
      <c r="F11" s="30">
        <f>D11-E11</f>
        <v/>
      </c>
      <c r="G11" s="30">
        <f>'01_Config'!G30</f>
        <v/>
      </c>
      <c r="H11" s="30">
        <f>SUMIFS($E$30:$E$79,$A$30:$A$79,A11,$D$30:$D$79,"Unplanned Leave",$H$30:$H$79,"Approved")</f>
        <v/>
      </c>
      <c r="I11" s="30">
        <f>G11-H11</f>
        <v/>
      </c>
      <c r="J11" s="30">
        <f>'01_Config'!G31</f>
        <v/>
      </c>
      <c r="K11" s="30">
        <f>SUMIFS($E$30:$E$79,$A$30:$A$79,A11,$D$30:$D$79,"Sick Leave",$H$30:$H$79,"Approved")</f>
        <v/>
      </c>
      <c r="L11" s="30">
        <f>J11-K11</f>
        <v/>
      </c>
      <c r="M11" s="30">
        <f>'01_Config'!G32</f>
        <v/>
      </c>
      <c r="N11" s="30">
        <f>SUMIFS($E$30:$E$79,$A$30:$A$79,A11,$D$30:$D$79,"Vacation Leave",$H$30:$H$79,"Approved")</f>
        <v/>
      </c>
      <c r="O11" s="30">
        <f>M11-N11</f>
        <v/>
      </c>
    </row>
    <row r="12">
      <c r="A12" s="33">
        <f>'02_Employee_Master'!A11</f>
        <v/>
      </c>
      <c r="B12" s="11">
        <f>'02_Employee_Master'!B11</f>
        <v/>
      </c>
      <c r="C12" s="11">
        <f>'02_Employee_Master'!D11</f>
        <v/>
      </c>
      <c r="D12" s="33">
        <f>'01_Config'!G29</f>
        <v/>
      </c>
      <c r="E12" s="33">
        <f>SUMIFS($E$30:$E$79,$A$30:$A$79,A12,$D$30:$D$79,"Planned Leave",$H$30:$H$79,"Approved")</f>
        <v/>
      </c>
      <c r="F12" s="33">
        <f>D12-E12</f>
        <v/>
      </c>
      <c r="G12" s="33">
        <f>'01_Config'!G30</f>
        <v/>
      </c>
      <c r="H12" s="33">
        <f>SUMIFS($E$30:$E$79,$A$30:$A$79,A12,$D$30:$D$79,"Unplanned Leave",$H$30:$H$79,"Approved")</f>
        <v/>
      </c>
      <c r="I12" s="33">
        <f>G12-H12</f>
        <v/>
      </c>
      <c r="J12" s="33">
        <f>'01_Config'!G31</f>
        <v/>
      </c>
      <c r="K12" s="33">
        <f>SUMIFS($E$30:$E$79,$A$30:$A$79,A12,$D$30:$D$79,"Sick Leave",$H$30:$H$79,"Approved")</f>
        <v/>
      </c>
      <c r="L12" s="33">
        <f>J12-K12</f>
        <v/>
      </c>
      <c r="M12" s="33">
        <f>'01_Config'!G32</f>
        <v/>
      </c>
      <c r="N12" s="33">
        <f>SUMIFS($E$30:$E$79,$A$30:$A$79,A12,$D$30:$D$79,"Vacation Leave",$H$30:$H$79,"Approved")</f>
        <v/>
      </c>
      <c r="O12" s="33">
        <f>M12-N12</f>
        <v/>
      </c>
    </row>
    <row r="13">
      <c r="A13" s="30">
        <f>'02_Employee_Master'!A12</f>
        <v/>
      </c>
      <c r="B13" s="9">
        <f>'02_Employee_Master'!B12</f>
        <v/>
      </c>
      <c r="C13" s="9">
        <f>'02_Employee_Master'!D12</f>
        <v/>
      </c>
      <c r="D13" s="30">
        <f>'01_Config'!G29</f>
        <v/>
      </c>
      <c r="E13" s="30">
        <f>SUMIFS($E$30:$E$79,$A$30:$A$79,A13,$D$30:$D$79,"Planned Leave",$H$30:$H$79,"Approved")</f>
        <v/>
      </c>
      <c r="F13" s="30">
        <f>D13-E13</f>
        <v/>
      </c>
      <c r="G13" s="30">
        <f>'01_Config'!G30</f>
        <v/>
      </c>
      <c r="H13" s="30">
        <f>SUMIFS($E$30:$E$79,$A$30:$A$79,A13,$D$30:$D$79,"Unplanned Leave",$H$30:$H$79,"Approved")</f>
        <v/>
      </c>
      <c r="I13" s="30">
        <f>G13-H13</f>
        <v/>
      </c>
      <c r="J13" s="30">
        <f>'01_Config'!G31</f>
        <v/>
      </c>
      <c r="K13" s="30">
        <f>SUMIFS($E$30:$E$79,$A$30:$A$79,A13,$D$30:$D$79,"Sick Leave",$H$30:$H$79,"Approved")</f>
        <v/>
      </c>
      <c r="L13" s="30">
        <f>J13-K13</f>
        <v/>
      </c>
      <c r="M13" s="30">
        <f>'01_Config'!G32</f>
        <v/>
      </c>
      <c r="N13" s="30">
        <f>SUMIFS($E$30:$E$79,$A$30:$A$79,A13,$D$30:$D$79,"Vacation Leave",$H$30:$H$79,"Approved")</f>
        <v/>
      </c>
      <c r="O13" s="30">
        <f>M13-N13</f>
        <v/>
      </c>
    </row>
    <row r="14">
      <c r="A14" s="33">
        <f>'02_Employee_Master'!A13</f>
        <v/>
      </c>
      <c r="B14" s="11">
        <f>'02_Employee_Master'!B13</f>
        <v/>
      </c>
      <c r="C14" s="11">
        <f>'02_Employee_Master'!D13</f>
        <v/>
      </c>
      <c r="D14" s="33">
        <f>'01_Config'!G29</f>
        <v/>
      </c>
      <c r="E14" s="33">
        <f>SUMIFS($E$30:$E$79,$A$30:$A$79,A14,$D$30:$D$79,"Planned Leave",$H$30:$H$79,"Approved")</f>
        <v/>
      </c>
      <c r="F14" s="33">
        <f>D14-E14</f>
        <v/>
      </c>
      <c r="G14" s="33">
        <f>'01_Config'!G30</f>
        <v/>
      </c>
      <c r="H14" s="33">
        <f>SUMIFS($E$30:$E$79,$A$30:$A$79,A14,$D$30:$D$79,"Unplanned Leave",$H$30:$H$79,"Approved")</f>
        <v/>
      </c>
      <c r="I14" s="33">
        <f>G14-H14</f>
        <v/>
      </c>
      <c r="J14" s="33">
        <f>'01_Config'!G31</f>
        <v/>
      </c>
      <c r="K14" s="33">
        <f>SUMIFS($E$30:$E$79,$A$30:$A$79,A14,$D$30:$D$79,"Sick Leave",$H$30:$H$79,"Approved")</f>
        <v/>
      </c>
      <c r="L14" s="33">
        <f>J14-K14</f>
        <v/>
      </c>
      <c r="M14" s="33">
        <f>'01_Config'!G32</f>
        <v/>
      </c>
      <c r="N14" s="33">
        <f>SUMIFS($E$30:$E$79,$A$30:$A$79,A14,$D$30:$D$79,"Vacation Leave",$H$30:$H$79,"Approved")</f>
        <v/>
      </c>
      <c r="O14" s="33">
        <f>M14-N14</f>
        <v/>
      </c>
    </row>
    <row r="15">
      <c r="A15" s="30">
        <f>'02_Employee_Master'!A14</f>
        <v/>
      </c>
      <c r="B15" s="9">
        <f>'02_Employee_Master'!B14</f>
        <v/>
      </c>
      <c r="C15" s="9">
        <f>'02_Employee_Master'!D14</f>
        <v/>
      </c>
      <c r="D15" s="30">
        <f>'01_Config'!G29</f>
        <v/>
      </c>
      <c r="E15" s="30">
        <f>SUMIFS($E$30:$E$79,$A$30:$A$79,A15,$D$30:$D$79,"Planned Leave",$H$30:$H$79,"Approved")</f>
        <v/>
      </c>
      <c r="F15" s="30">
        <f>D15-E15</f>
        <v/>
      </c>
      <c r="G15" s="30">
        <f>'01_Config'!G30</f>
        <v/>
      </c>
      <c r="H15" s="30">
        <f>SUMIFS($E$30:$E$79,$A$30:$A$79,A15,$D$30:$D$79,"Unplanned Leave",$H$30:$H$79,"Approved")</f>
        <v/>
      </c>
      <c r="I15" s="30">
        <f>G15-H15</f>
        <v/>
      </c>
      <c r="J15" s="30">
        <f>'01_Config'!G31</f>
        <v/>
      </c>
      <c r="K15" s="30">
        <f>SUMIFS($E$30:$E$79,$A$30:$A$79,A15,$D$30:$D$79,"Sick Leave",$H$30:$H$79,"Approved")</f>
        <v/>
      </c>
      <c r="L15" s="30">
        <f>J15-K15</f>
        <v/>
      </c>
      <c r="M15" s="30">
        <f>'01_Config'!G32</f>
        <v/>
      </c>
      <c r="N15" s="30">
        <f>SUMIFS($E$30:$E$79,$A$30:$A$79,A15,$D$30:$D$79,"Vacation Leave",$H$30:$H$79,"Approved")</f>
        <v/>
      </c>
      <c r="O15" s="30">
        <f>M15-N15</f>
        <v/>
      </c>
    </row>
    <row r="16">
      <c r="A16" s="33">
        <f>'02_Employee_Master'!A15</f>
        <v/>
      </c>
      <c r="B16" s="11">
        <f>'02_Employee_Master'!B15</f>
        <v/>
      </c>
      <c r="C16" s="11">
        <f>'02_Employee_Master'!D15</f>
        <v/>
      </c>
      <c r="D16" s="33">
        <f>'01_Config'!G29</f>
        <v/>
      </c>
      <c r="E16" s="33">
        <f>SUMIFS($E$30:$E$79,$A$30:$A$79,A16,$D$30:$D$79,"Planned Leave",$H$30:$H$79,"Approved")</f>
        <v/>
      </c>
      <c r="F16" s="33">
        <f>D16-E16</f>
        <v/>
      </c>
      <c r="G16" s="33">
        <f>'01_Config'!G30</f>
        <v/>
      </c>
      <c r="H16" s="33">
        <f>SUMIFS($E$30:$E$79,$A$30:$A$79,A16,$D$30:$D$79,"Unplanned Leave",$H$30:$H$79,"Approved")</f>
        <v/>
      </c>
      <c r="I16" s="33">
        <f>G16-H16</f>
        <v/>
      </c>
      <c r="J16" s="33">
        <f>'01_Config'!G31</f>
        <v/>
      </c>
      <c r="K16" s="33">
        <f>SUMIFS($E$30:$E$79,$A$30:$A$79,A16,$D$30:$D$79,"Sick Leave",$H$30:$H$79,"Approved")</f>
        <v/>
      </c>
      <c r="L16" s="33">
        <f>J16-K16</f>
        <v/>
      </c>
      <c r="M16" s="33">
        <f>'01_Config'!G32</f>
        <v/>
      </c>
      <c r="N16" s="33">
        <f>SUMIFS($E$30:$E$79,$A$30:$A$79,A16,$D$30:$D$79,"Vacation Leave",$H$30:$H$79,"Approved")</f>
        <v/>
      </c>
      <c r="O16" s="33">
        <f>M16-N16</f>
        <v/>
      </c>
    </row>
    <row r="17">
      <c r="A17" s="30">
        <f>'02_Employee_Master'!A16</f>
        <v/>
      </c>
      <c r="B17" s="9">
        <f>'02_Employee_Master'!B16</f>
        <v/>
      </c>
      <c r="C17" s="9">
        <f>'02_Employee_Master'!D16</f>
        <v/>
      </c>
      <c r="D17" s="30">
        <f>'01_Config'!G29</f>
        <v/>
      </c>
      <c r="E17" s="30">
        <f>SUMIFS($E$30:$E$79,$A$30:$A$79,A17,$D$30:$D$79,"Planned Leave",$H$30:$H$79,"Approved")</f>
        <v/>
      </c>
      <c r="F17" s="30">
        <f>D17-E17</f>
        <v/>
      </c>
      <c r="G17" s="30">
        <f>'01_Config'!G30</f>
        <v/>
      </c>
      <c r="H17" s="30">
        <f>SUMIFS($E$30:$E$79,$A$30:$A$79,A17,$D$30:$D$79,"Unplanned Leave",$H$30:$H$79,"Approved")</f>
        <v/>
      </c>
      <c r="I17" s="30">
        <f>G17-H17</f>
        <v/>
      </c>
      <c r="J17" s="30">
        <f>'01_Config'!G31</f>
        <v/>
      </c>
      <c r="K17" s="30">
        <f>SUMIFS($E$30:$E$79,$A$30:$A$79,A17,$D$30:$D$79,"Sick Leave",$H$30:$H$79,"Approved")</f>
        <v/>
      </c>
      <c r="L17" s="30">
        <f>J17-K17</f>
        <v/>
      </c>
      <c r="M17" s="30">
        <f>'01_Config'!G32</f>
        <v/>
      </c>
      <c r="N17" s="30">
        <f>SUMIFS($E$30:$E$79,$A$30:$A$79,A17,$D$30:$D$79,"Vacation Leave",$H$30:$H$79,"Approved")</f>
        <v/>
      </c>
      <c r="O17" s="30">
        <f>M17-N17</f>
        <v/>
      </c>
    </row>
    <row r="18">
      <c r="A18" s="33">
        <f>'02_Employee_Master'!A17</f>
        <v/>
      </c>
      <c r="B18" s="11">
        <f>'02_Employee_Master'!B17</f>
        <v/>
      </c>
      <c r="C18" s="11">
        <f>'02_Employee_Master'!D17</f>
        <v/>
      </c>
      <c r="D18" s="33">
        <f>'01_Config'!G29</f>
        <v/>
      </c>
      <c r="E18" s="33">
        <f>SUMIFS($E$30:$E$79,$A$30:$A$79,A18,$D$30:$D$79,"Planned Leave",$H$30:$H$79,"Approved")</f>
        <v/>
      </c>
      <c r="F18" s="33">
        <f>D18-E18</f>
        <v/>
      </c>
      <c r="G18" s="33">
        <f>'01_Config'!G30</f>
        <v/>
      </c>
      <c r="H18" s="33">
        <f>SUMIFS($E$30:$E$79,$A$30:$A$79,A18,$D$30:$D$79,"Unplanned Leave",$H$30:$H$79,"Approved")</f>
        <v/>
      </c>
      <c r="I18" s="33">
        <f>G18-H18</f>
        <v/>
      </c>
      <c r="J18" s="33">
        <f>'01_Config'!G31</f>
        <v/>
      </c>
      <c r="K18" s="33">
        <f>SUMIFS($E$30:$E$79,$A$30:$A$79,A18,$D$30:$D$79,"Sick Leave",$H$30:$H$79,"Approved")</f>
        <v/>
      </c>
      <c r="L18" s="33">
        <f>J18-K18</f>
        <v/>
      </c>
      <c r="M18" s="33">
        <f>'01_Config'!G32</f>
        <v/>
      </c>
      <c r="N18" s="33">
        <f>SUMIFS($E$30:$E$79,$A$30:$A$79,A18,$D$30:$D$79,"Vacation Leave",$H$30:$H$79,"Approved")</f>
        <v/>
      </c>
      <c r="O18" s="33">
        <f>M18-N18</f>
        <v/>
      </c>
    </row>
    <row r="19">
      <c r="A19" s="30">
        <f>'02_Employee_Master'!A18</f>
        <v/>
      </c>
      <c r="B19" s="9">
        <f>'02_Employee_Master'!B18</f>
        <v/>
      </c>
      <c r="C19" s="9">
        <f>'02_Employee_Master'!D18</f>
        <v/>
      </c>
      <c r="D19" s="30">
        <f>'01_Config'!G29</f>
        <v/>
      </c>
      <c r="E19" s="30">
        <f>SUMIFS($E$30:$E$79,$A$30:$A$79,A19,$D$30:$D$79,"Planned Leave",$H$30:$H$79,"Approved")</f>
        <v/>
      </c>
      <c r="F19" s="30">
        <f>D19-E19</f>
        <v/>
      </c>
      <c r="G19" s="30">
        <f>'01_Config'!G30</f>
        <v/>
      </c>
      <c r="H19" s="30">
        <f>SUMIFS($E$30:$E$79,$A$30:$A$79,A19,$D$30:$D$79,"Unplanned Leave",$H$30:$H$79,"Approved")</f>
        <v/>
      </c>
      <c r="I19" s="30">
        <f>G19-H19</f>
        <v/>
      </c>
      <c r="J19" s="30">
        <f>'01_Config'!G31</f>
        <v/>
      </c>
      <c r="K19" s="30">
        <f>SUMIFS($E$30:$E$79,$A$30:$A$79,A19,$D$30:$D$79,"Sick Leave",$H$30:$H$79,"Approved")</f>
        <v/>
      </c>
      <c r="L19" s="30">
        <f>J19-K19</f>
        <v/>
      </c>
      <c r="M19" s="30">
        <f>'01_Config'!G32</f>
        <v/>
      </c>
      <c r="N19" s="30">
        <f>SUMIFS($E$30:$E$79,$A$30:$A$79,A19,$D$30:$D$79,"Vacation Leave",$H$30:$H$79,"Approved")</f>
        <v/>
      </c>
      <c r="O19" s="30">
        <f>M19-N19</f>
        <v/>
      </c>
    </row>
    <row r="20">
      <c r="A20" s="33">
        <f>'02_Employee_Master'!A19</f>
        <v/>
      </c>
      <c r="B20" s="11">
        <f>'02_Employee_Master'!B19</f>
        <v/>
      </c>
      <c r="C20" s="11">
        <f>'02_Employee_Master'!D19</f>
        <v/>
      </c>
      <c r="D20" s="33">
        <f>'01_Config'!G29</f>
        <v/>
      </c>
      <c r="E20" s="33">
        <f>SUMIFS($E$30:$E$79,$A$30:$A$79,A20,$D$30:$D$79,"Planned Leave",$H$30:$H$79,"Approved")</f>
        <v/>
      </c>
      <c r="F20" s="33">
        <f>D20-E20</f>
        <v/>
      </c>
      <c r="G20" s="33">
        <f>'01_Config'!G30</f>
        <v/>
      </c>
      <c r="H20" s="33">
        <f>SUMIFS($E$30:$E$79,$A$30:$A$79,A20,$D$30:$D$79,"Unplanned Leave",$H$30:$H$79,"Approved")</f>
        <v/>
      </c>
      <c r="I20" s="33">
        <f>G20-H20</f>
        <v/>
      </c>
      <c r="J20" s="33">
        <f>'01_Config'!G31</f>
        <v/>
      </c>
      <c r="K20" s="33">
        <f>SUMIFS($E$30:$E$79,$A$30:$A$79,A20,$D$30:$D$79,"Sick Leave",$H$30:$H$79,"Approved")</f>
        <v/>
      </c>
      <c r="L20" s="33">
        <f>J20-K20</f>
        <v/>
      </c>
      <c r="M20" s="33">
        <f>'01_Config'!G32</f>
        <v/>
      </c>
      <c r="N20" s="33">
        <f>SUMIFS($E$30:$E$79,$A$30:$A$79,A20,$D$30:$D$79,"Vacation Leave",$H$30:$H$79,"Approved")</f>
        <v/>
      </c>
      <c r="O20" s="33">
        <f>M20-N20</f>
        <v/>
      </c>
    </row>
    <row r="21">
      <c r="A21" s="30">
        <f>'02_Employee_Master'!A20</f>
        <v/>
      </c>
      <c r="B21" s="9">
        <f>'02_Employee_Master'!B20</f>
        <v/>
      </c>
      <c r="C21" s="9">
        <f>'02_Employee_Master'!D20</f>
        <v/>
      </c>
      <c r="D21" s="30">
        <f>'01_Config'!G29</f>
        <v/>
      </c>
      <c r="E21" s="30">
        <f>SUMIFS($E$30:$E$79,$A$30:$A$79,A21,$D$30:$D$79,"Planned Leave",$H$30:$H$79,"Approved")</f>
        <v/>
      </c>
      <c r="F21" s="30">
        <f>D21-E21</f>
        <v/>
      </c>
      <c r="G21" s="30">
        <f>'01_Config'!G30</f>
        <v/>
      </c>
      <c r="H21" s="30">
        <f>SUMIFS($E$30:$E$79,$A$30:$A$79,A21,$D$30:$D$79,"Unplanned Leave",$H$30:$H$79,"Approved")</f>
        <v/>
      </c>
      <c r="I21" s="30">
        <f>G21-H21</f>
        <v/>
      </c>
      <c r="J21" s="30">
        <f>'01_Config'!G31</f>
        <v/>
      </c>
      <c r="K21" s="30">
        <f>SUMIFS($E$30:$E$79,$A$30:$A$79,A21,$D$30:$D$79,"Sick Leave",$H$30:$H$79,"Approved")</f>
        <v/>
      </c>
      <c r="L21" s="30">
        <f>J21-K21</f>
        <v/>
      </c>
      <c r="M21" s="30">
        <f>'01_Config'!G32</f>
        <v/>
      </c>
      <c r="N21" s="30">
        <f>SUMIFS($E$30:$E$79,$A$30:$A$79,A21,$D$30:$D$79,"Vacation Leave",$H$30:$H$79,"Approved")</f>
        <v/>
      </c>
      <c r="O21" s="30">
        <f>M21-N21</f>
        <v/>
      </c>
    </row>
    <row r="22">
      <c r="A22" s="33">
        <f>'02_Employee_Master'!A21</f>
        <v/>
      </c>
      <c r="B22" s="11">
        <f>'02_Employee_Master'!B21</f>
        <v/>
      </c>
      <c r="C22" s="11">
        <f>'02_Employee_Master'!D21</f>
        <v/>
      </c>
      <c r="D22" s="33">
        <f>'01_Config'!G29</f>
        <v/>
      </c>
      <c r="E22" s="33">
        <f>SUMIFS($E$30:$E$79,$A$30:$A$79,A22,$D$30:$D$79,"Planned Leave",$H$30:$H$79,"Approved")</f>
        <v/>
      </c>
      <c r="F22" s="33">
        <f>D22-E22</f>
        <v/>
      </c>
      <c r="G22" s="33">
        <f>'01_Config'!G30</f>
        <v/>
      </c>
      <c r="H22" s="33">
        <f>SUMIFS($E$30:$E$79,$A$30:$A$79,A22,$D$30:$D$79,"Unplanned Leave",$H$30:$H$79,"Approved")</f>
        <v/>
      </c>
      <c r="I22" s="33">
        <f>G22-H22</f>
        <v/>
      </c>
      <c r="J22" s="33">
        <f>'01_Config'!G31</f>
        <v/>
      </c>
      <c r="K22" s="33">
        <f>SUMIFS($E$30:$E$79,$A$30:$A$79,A22,$D$30:$D$79,"Sick Leave",$H$30:$H$79,"Approved")</f>
        <v/>
      </c>
      <c r="L22" s="33">
        <f>J22-K22</f>
        <v/>
      </c>
      <c r="M22" s="33">
        <f>'01_Config'!G32</f>
        <v/>
      </c>
      <c r="N22" s="33">
        <f>SUMIFS($E$30:$E$79,$A$30:$A$79,A22,$D$30:$D$79,"Vacation Leave",$H$30:$H$79,"Approved")</f>
        <v/>
      </c>
      <c r="O22" s="33">
        <f>M22-N22</f>
        <v/>
      </c>
    </row>
    <row r="23">
      <c r="A23" s="30">
        <f>'02_Employee_Master'!A22</f>
        <v/>
      </c>
      <c r="B23" s="9">
        <f>'02_Employee_Master'!B22</f>
        <v/>
      </c>
      <c r="C23" s="9">
        <f>'02_Employee_Master'!D22</f>
        <v/>
      </c>
      <c r="D23" s="30">
        <f>'01_Config'!G29</f>
        <v/>
      </c>
      <c r="E23" s="30">
        <f>SUMIFS($E$30:$E$79,$A$30:$A$79,A23,$D$30:$D$79,"Planned Leave",$H$30:$H$79,"Approved")</f>
        <v/>
      </c>
      <c r="F23" s="30">
        <f>D23-E23</f>
        <v/>
      </c>
      <c r="G23" s="30">
        <f>'01_Config'!G30</f>
        <v/>
      </c>
      <c r="H23" s="30">
        <f>SUMIFS($E$30:$E$79,$A$30:$A$79,A23,$D$30:$D$79,"Unplanned Leave",$H$30:$H$79,"Approved")</f>
        <v/>
      </c>
      <c r="I23" s="30">
        <f>G23-H23</f>
        <v/>
      </c>
      <c r="J23" s="30">
        <f>'01_Config'!G31</f>
        <v/>
      </c>
      <c r="K23" s="30">
        <f>SUMIFS($E$30:$E$79,$A$30:$A$79,A23,$D$30:$D$79,"Sick Leave",$H$30:$H$79,"Approved")</f>
        <v/>
      </c>
      <c r="L23" s="30">
        <f>J23-K23</f>
        <v/>
      </c>
      <c r="M23" s="30">
        <f>'01_Config'!G32</f>
        <v/>
      </c>
      <c r="N23" s="30">
        <f>SUMIFS($E$30:$E$79,$A$30:$A$79,A23,$D$30:$D$79,"Vacation Leave",$H$30:$H$79,"Approved")</f>
        <v/>
      </c>
      <c r="O23" s="30">
        <f>M23-N23</f>
        <v/>
      </c>
    </row>
    <row r="24">
      <c r="A24" s="33">
        <f>'02_Employee_Master'!A23</f>
        <v/>
      </c>
      <c r="B24" s="11">
        <f>'02_Employee_Master'!B23</f>
        <v/>
      </c>
      <c r="C24" s="11">
        <f>'02_Employee_Master'!D23</f>
        <v/>
      </c>
      <c r="D24" s="33">
        <f>'01_Config'!G29</f>
        <v/>
      </c>
      <c r="E24" s="33">
        <f>SUMIFS($E$30:$E$79,$A$30:$A$79,A24,$D$30:$D$79,"Planned Leave",$H$30:$H$79,"Approved")</f>
        <v/>
      </c>
      <c r="F24" s="33">
        <f>D24-E24</f>
        <v/>
      </c>
      <c r="G24" s="33">
        <f>'01_Config'!G30</f>
        <v/>
      </c>
      <c r="H24" s="33">
        <f>SUMIFS($E$30:$E$79,$A$30:$A$79,A24,$D$30:$D$79,"Unplanned Leave",$H$30:$H$79,"Approved")</f>
        <v/>
      </c>
      <c r="I24" s="33">
        <f>G24-H24</f>
        <v/>
      </c>
      <c r="J24" s="33">
        <f>'01_Config'!G31</f>
        <v/>
      </c>
      <c r="K24" s="33">
        <f>SUMIFS($E$30:$E$79,$A$30:$A$79,A24,$D$30:$D$79,"Sick Leave",$H$30:$H$79,"Approved")</f>
        <v/>
      </c>
      <c r="L24" s="33">
        <f>J24-K24</f>
        <v/>
      </c>
      <c r="M24" s="33">
        <f>'01_Config'!G32</f>
        <v/>
      </c>
      <c r="N24" s="33">
        <f>SUMIFS($E$30:$E$79,$A$30:$A$79,A24,$D$30:$D$79,"Vacation Leave",$H$30:$H$79,"Approved")</f>
        <v/>
      </c>
      <c r="O24" s="33">
        <f>M24-N24</f>
        <v/>
      </c>
    </row>
    <row r="25">
      <c r="A25" s="30">
        <f>'02_Employee_Master'!A24</f>
        <v/>
      </c>
      <c r="B25" s="9">
        <f>'02_Employee_Master'!B24</f>
        <v/>
      </c>
      <c r="C25" s="9">
        <f>'02_Employee_Master'!D24</f>
        <v/>
      </c>
      <c r="D25" s="30">
        <f>'01_Config'!G29</f>
        <v/>
      </c>
      <c r="E25" s="30">
        <f>SUMIFS($E$30:$E$79,$A$30:$A$79,A25,$D$30:$D$79,"Planned Leave",$H$30:$H$79,"Approved")</f>
        <v/>
      </c>
      <c r="F25" s="30">
        <f>D25-E25</f>
        <v/>
      </c>
      <c r="G25" s="30">
        <f>'01_Config'!G30</f>
        <v/>
      </c>
      <c r="H25" s="30">
        <f>SUMIFS($E$30:$E$79,$A$30:$A$79,A25,$D$30:$D$79,"Unplanned Leave",$H$30:$H$79,"Approved")</f>
        <v/>
      </c>
      <c r="I25" s="30">
        <f>G25-H25</f>
        <v/>
      </c>
      <c r="J25" s="30">
        <f>'01_Config'!G31</f>
        <v/>
      </c>
      <c r="K25" s="30">
        <f>SUMIFS($E$30:$E$79,$A$30:$A$79,A25,$D$30:$D$79,"Sick Leave",$H$30:$H$79,"Approved")</f>
        <v/>
      </c>
      <c r="L25" s="30">
        <f>J25-K25</f>
        <v/>
      </c>
      <c r="M25" s="30">
        <f>'01_Config'!G32</f>
        <v/>
      </c>
      <c r="N25" s="30">
        <f>SUMIFS($E$30:$E$79,$A$30:$A$79,A25,$D$30:$D$79,"Vacation Leave",$H$30:$H$79,"Approved")</f>
        <v/>
      </c>
      <c r="O25" s="30">
        <f>M25-N25</f>
        <v/>
      </c>
    </row>
    <row r="26">
      <c r="A26" s="33">
        <f>'02_Employee_Master'!A25</f>
        <v/>
      </c>
      <c r="B26" s="11">
        <f>'02_Employee_Master'!B25</f>
        <v/>
      </c>
      <c r="C26" s="11">
        <f>'02_Employee_Master'!D25</f>
        <v/>
      </c>
      <c r="D26" s="33">
        <f>'01_Config'!G29</f>
        <v/>
      </c>
      <c r="E26" s="33">
        <f>SUMIFS($E$30:$E$79,$A$30:$A$79,A26,$D$30:$D$79,"Planned Leave",$H$30:$H$79,"Approved")</f>
        <v/>
      </c>
      <c r="F26" s="33">
        <f>D26-E26</f>
        <v/>
      </c>
      <c r="G26" s="33">
        <f>'01_Config'!G30</f>
        <v/>
      </c>
      <c r="H26" s="33">
        <f>SUMIFS($E$30:$E$79,$A$30:$A$79,A26,$D$30:$D$79,"Unplanned Leave",$H$30:$H$79,"Approved")</f>
        <v/>
      </c>
      <c r="I26" s="33">
        <f>G26-H26</f>
        <v/>
      </c>
      <c r="J26" s="33">
        <f>'01_Config'!G31</f>
        <v/>
      </c>
      <c r="K26" s="33">
        <f>SUMIFS($E$30:$E$79,$A$30:$A$79,A26,$D$30:$D$79,"Sick Leave",$H$30:$H$79,"Approved")</f>
        <v/>
      </c>
      <c r="L26" s="33">
        <f>J26-K26</f>
        <v/>
      </c>
      <c r="M26" s="33">
        <f>'01_Config'!G32</f>
        <v/>
      </c>
      <c r="N26" s="33">
        <f>SUMIFS($E$30:$E$79,$A$30:$A$79,A26,$D$30:$D$79,"Vacation Leave",$H$30:$H$79,"Approved")</f>
        <v/>
      </c>
      <c r="O26" s="33">
        <f>M26-N26</f>
        <v/>
      </c>
    </row>
    <row r="28">
      <c r="A28" s="29" t="inlineStr">
        <is>
          <t>LEAVE APPLICATIONS &amp; APPROVAL WORKFLOW</t>
        </is>
      </c>
      <c r="B28" s="29" t="n"/>
      <c r="C28" s="29" t="n"/>
      <c r="D28" s="29" t="n"/>
      <c r="E28" s="29" t="n"/>
      <c r="F28" s="29" t="n"/>
      <c r="G28" s="29" t="n"/>
      <c r="H28" s="29" t="n"/>
      <c r="I28" s="29" t="n"/>
      <c r="J28" s="29" t="n"/>
    </row>
    <row r="29">
      <c r="A29" s="7" t="inlineStr">
        <is>
          <t>Emp ID</t>
        </is>
      </c>
      <c r="B29" s="7" t="inlineStr">
        <is>
          <t>Employee Name</t>
        </is>
      </c>
      <c r="C29" s="7" t="inlineStr">
        <is>
          <t>Department</t>
        </is>
      </c>
      <c r="D29" s="7" t="inlineStr">
        <is>
          <t>Leave Type</t>
        </is>
      </c>
      <c r="E29" s="7" t="inlineStr">
        <is>
          <t>Days</t>
        </is>
      </c>
      <c r="F29" s="7" t="inlineStr">
        <is>
          <t>From Date</t>
        </is>
      </c>
      <c r="G29" s="7" t="inlineStr">
        <is>
          <t>To Date</t>
        </is>
      </c>
      <c r="H29" s="7" t="inlineStr">
        <is>
          <t>Approval Status</t>
        </is>
      </c>
      <c r="I29" s="7" t="inlineStr">
        <is>
          <t>Approver</t>
        </is>
      </c>
      <c r="J29" s="7" t="inlineStr">
        <is>
          <t>Manager Remarks</t>
        </is>
      </c>
    </row>
    <row r="30">
      <c r="A30" s="30" t="inlineStr">
        <is>
          <t>PL-004</t>
        </is>
      </c>
      <c r="B30" s="9">
        <f>IFERROR(VLOOKUP(A30,'02_Employee_Master'!$A$6:$B$25,2,FALSE),"")</f>
        <v/>
      </c>
      <c r="C30" s="9">
        <f>IFERROR(VLOOKUP(A30,'02_Employee_Master'!$A$6:$D$25,4,FALSE),"")</f>
        <v/>
      </c>
      <c r="D30" s="30" t="inlineStr">
        <is>
          <t>Planned Leave</t>
        </is>
      </c>
      <c r="E30" s="30" t="n">
        <v>2</v>
      </c>
      <c r="F30" s="43" t="n">
        <v>46273</v>
      </c>
      <c r="G30" s="43" t="n">
        <v>46274</v>
      </c>
      <c r="H30" s="30" t="inlineStr">
        <is>
          <t>Approved</t>
        </is>
      </c>
      <c r="I30" s="9" t="inlineStr">
        <is>
          <t>Sneha Patel</t>
        </is>
      </c>
      <c r="J30" s="9" t="inlineStr">
        <is>
          <t>Family function — approved</t>
        </is>
      </c>
    </row>
    <row r="31">
      <c r="A31" s="33" t="inlineStr">
        <is>
          <t>PL-007</t>
        </is>
      </c>
      <c r="B31" s="11">
        <f>IFERROR(VLOOKUP(A31,'02_Employee_Master'!$A$6:$B$25,2,FALSE),"")</f>
        <v/>
      </c>
      <c r="C31" s="11">
        <f>IFERROR(VLOOKUP(A31,'02_Employee_Master'!$A$6:$D$25,4,FALSE),"")</f>
        <v/>
      </c>
      <c r="D31" s="33" t="inlineStr">
        <is>
          <t>Sick Leave</t>
        </is>
      </c>
      <c r="E31" s="33" t="n">
        <v>1</v>
      </c>
      <c r="F31" s="44" t="n">
        <v>46268</v>
      </c>
      <c r="G31" s="44" t="n">
        <v>46268</v>
      </c>
      <c r="H31" s="33" t="inlineStr">
        <is>
          <t>Approved</t>
        </is>
      </c>
      <c r="I31" s="11" t="inlineStr">
        <is>
          <t>Vikram Singh</t>
        </is>
      </c>
      <c r="J31" s="11" t="inlineStr">
        <is>
          <t>Fever — certificate received</t>
        </is>
      </c>
    </row>
    <row r="32">
      <c r="A32" s="30" t="inlineStr">
        <is>
          <t>PL-010</t>
        </is>
      </c>
      <c r="B32" s="9">
        <f>IFERROR(VLOOKUP(A32,'02_Employee_Master'!$A$6:$B$25,2,FALSE),"")</f>
        <v/>
      </c>
      <c r="C32" s="9">
        <f>IFERROR(VLOOKUP(A32,'02_Employee_Master'!$A$6:$D$25,4,FALSE),"")</f>
        <v/>
      </c>
      <c r="D32" s="30" t="inlineStr">
        <is>
          <t>Unplanned Leave</t>
        </is>
      </c>
      <c r="E32" s="30" t="n">
        <v>1</v>
      </c>
      <c r="F32" s="43" t="n">
        <v>46276</v>
      </c>
      <c r="G32" s="43" t="n">
        <v>46276</v>
      </c>
      <c r="H32" s="30" t="inlineStr">
        <is>
          <t>Approved</t>
        </is>
      </c>
      <c r="I32" s="9" t="inlineStr">
        <is>
          <t>Vikram Singh</t>
        </is>
      </c>
      <c r="J32" s="9" t="inlineStr">
        <is>
          <t>Emergency at home</t>
        </is>
      </c>
    </row>
    <row r="33">
      <c r="A33" s="33" t="inlineStr">
        <is>
          <t>PL-005</t>
        </is>
      </c>
      <c r="B33" s="11">
        <f>IFERROR(VLOOKUP(A33,'02_Employee_Master'!$A$6:$B$25,2,FALSE),"")</f>
        <v/>
      </c>
      <c r="C33" s="11">
        <f>IFERROR(VLOOKUP(A33,'02_Employee_Master'!$A$6:$D$25,4,FALSE),"")</f>
        <v/>
      </c>
      <c r="D33" s="33" t="inlineStr">
        <is>
          <t>Vacation Leave</t>
        </is>
      </c>
      <c r="E33" s="33" t="n">
        <v>3</v>
      </c>
      <c r="F33" s="44" t="n">
        <v>46287</v>
      </c>
      <c r="G33" s="44" t="n">
        <v>46289</v>
      </c>
      <c r="H33" s="33" t="inlineStr">
        <is>
          <t>Pending</t>
        </is>
      </c>
      <c r="I33" s="11" t="inlineStr">
        <is>
          <t>Vikram Singh</t>
        </is>
      </c>
      <c r="J33" s="11" t="inlineStr"/>
    </row>
    <row r="34">
      <c r="A34" s="30" t="inlineStr">
        <is>
          <t>PL-014</t>
        </is>
      </c>
      <c r="B34" s="9">
        <f>IFERROR(VLOOKUP(A34,'02_Employee_Master'!$A$6:$B$25,2,FALSE),"")</f>
        <v/>
      </c>
      <c r="C34" s="9">
        <f>IFERROR(VLOOKUP(A34,'02_Employee_Master'!$A$6:$D$25,4,FALSE),"")</f>
        <v/>
      </c>
      <c r="D34" s="30" t="inlineStr">
        <is>
          <t>Planned Leave</t>
        </is>
      </c>
      <c r="E34" s="30" t="n">
        <v>1</v>
      </c>
      <c r="F34" s="43" t="n">
        <v>46280</v>
      </c>
      <c r="G34" s="43" t="n">
        <v>46280</v>
      </c>
      <c r="H34" s="30" t="inlineStr">
        <is>
          <t>Rejected</t>
        </is>
      </c>
      <c r="I34" s="9" t="inlineStr">
        <is>
          <t>Sneha Patel</t>
        </is>
      </c>
      <c r="J34" s="9" t="inlineStr">
        <is>
          <t>Short staffing on that day</t>
        </is>
      </c>
    </row>
    <row r="35">
      <c r="A35" s="33" t="inlineStr">
        <is>
          <t>PL-016</t>
        </is>
      </c>
      <c r="B35" s="11">
        <f>IFERROR(VLOOKUP(A35,'02_Employee_Master'!$A$6:$B$25,2,FALSE),"")</f>
        <v/>
      </c>
      <c r="C35" s="11">
        <f>IFERROR(VLOOKUP(A35,'02_Employee_Master'!$A$6:$D$25,4,FALSE),"")</f>
        <v/>
      </c>
      <c r="D35" s="33" t="inlineStr">
        <is>
          <t>Sick Leave</t>
        </is>
      </c>
      <c r="E35" s="33" t="n">
        <v>2</v>
      </c>
      <c r="F35" s="44" t="n">
        <v>46269</v>
      </c>
      <c r="G35" s="44" t="n">
        <v>46270</v>
      </c>
      <c r="H35" s="33" t="inlineStr">
        <is>
          <t>Approved</t>
        </is>
      </c>
      <c r="I35" s="11" t="inlineStr">
        <is>
          <t>Fatima Khan</t>
        </is>
      </c>
      <c r="J35" s="11" t="inlineStr">
        <is>
          <t>Medical advice</t>
        </is>
      </c>
    </row>
    <row r="36">
      <c r="A36" s="30" t="inlineStr">
        <is>
          <t>PL-011</t>
        </is>
      </c>
      <c r="B36" s="9">
        <f>IFERROR(VLOOKUP(A36,'02_Employee_Master'!$A$6:$B$25,2,FALSE),"")</f>
        <v/>
      </c>
      <c r="C36" s="9">
        <f>IFERROR(VLOOKUP(A36,'02_Employee_Master'!$A$6:$D$25,4,FALSE),"")</f>
        <v/>
      </c>
      <c r="D36" s="30" t="inlineStr">
        <is>
          <t>Planned Leave</t>
        </is>
      </c>
      <c r="E36" s="30" t="n">
        <v>1</v>
      </c>
      <c r="F36" s="43" t="n">
        <v>46283</v>
      </c>
      <c r="G36" s="43" t="n">
        <v>46283</v>
      </c>
      <c r="H36" s="30" t="inlineStr">
        <is>
          <t>Approved</t>
        </is>
      </c>
      <c r="I36" s="9" t="inlineStr">
        <is>
          <t>Vikram Singh</t>
        </is>
      </c>
      <c r="J36" s="9" t="inlineStr">
        <is>
          <t>OK</t>
        </is>
      </c>
    </row>
    <row r="37">
      <c r="A37" s="33" t="inlineStr">
        <is>
          <t>PL-008</t>
        </is>
      </c>
      <c r="B37" s="11">
        <f>IFERROR(VLOOKUP(A37,'02_Employee_Master'!$A$6:$B$25,2,FALSE),"")</f>
        <v/>
      </c>
      <c r="C37" s="11">
        <f>IFERROR(VLOOKUP(A37,'02_Employee_Master'!$A$6:$D$25,4,FALSE),"")</f>
        <v/>
      </c>
      <c r="D37" s="33" t="inlineStr">
        <is>
          <t>Unplanned Leave</t>
        </is>
      </c>
      <c r="E37" s="33" t="n">
        <v>1</v>
      </c>
      <c r="F37" s="44" t="n">
        <v>46267</v>
      </c>
      <c r="G37" s="44" t="n">
        <v>46267</v>
      </c>
      <c r="H37" s="33" t="inlineStr">
        <is>
          <t>Pending</t>
        </is>
      </c>
      <c r="I37" s="11" t="inlineStr">
        <is>
          <t>Meera Iyer</t>
        </is>
      </c>
      <c r="J37" s="11" t="inlineStr">
        <is>
          <t>Awaiting confirmation</t>
        </is>
      </c>
    </row>
    <row r="38">
      <c r="A38" s="25" t="n"/>
      <c r="B38" s="25">
        <f>IF(A38="","",IFERROR(VLOOKUP(A38,'02_Employee_Master'!$A$6:$B$25,2,FALSE),""))</f>
        <v/>
      </c>
      <c r="C38" s="25">
        <f>IF(A38="","",IFERROR(VLOOKUP(A38,'02_Employee_Master'!$A$6:$D$25,4,FALSE),""))</f>
        <v/>
      </c>
      <c r="D38" s="25" t="n"/>
      <c r="E38" s="25" t="n"/>
      <c r="F38" s="83" t="n"/>
      <c r="G38" s="83" t="n"/>
      <c r="H38" s="25" t="n"/>
      <c r="I38" s="25" t="n"/>
      <c r="J38" s="25" t="n"/>
    </row>
    <row r="39">
      <c r="A39" s="27" t="n"/>
      <c r="B39" s="27">
        <f>IF(A39="","",IFERROR(VLOOKUP(A39,'02_Employee_Master'!$A$6:$B$25,2,FALSE),""))</f>
        <v/>
      </c>
      <c r="C39" s="27">
        <f>IF(A39="","",IFERROR(VLOOKUP(A39,'02_Employee_Master'!$A$6:$D$25,4,FALSE),""))</f>
        <v/>
      </c>
      <c r="D39" s="27" t="n"/>
      <c r="E39" s="27" t="n"/>
      <c r="F39" s="84" t="n"/>
      <c r="G39" s="84" t="n"/>
      <c r="H39" s="27" t="n"/>
      <c r="I39" s="27" t="n"/>
      <c r="J39" s="27" t="n"/>
    </row>
    <row r="40">
      <c r="A40" s="25" t="n"/>
      <c r="B40" s="25">
        <f>IF(A40="","",IFERROR(VLOOKUP(A40,'02_Employee_Master'!$A$6:$B$25,2,FALSE),""))</f>
        <v/>
      </c>
      <c r="C40" s="25">
        <f>IF(A40="","",IFERROR(VLOOKUP(A40,'02_Employee_Master'!$A$6:$D$25,4,FALSE),""))</f>
        <v/>
      </c>
      <c r="D40" s="25" t="n"/>
      <c r="E40" s="25" t="n"/>
      <c r="F40" s="83" t="n"/>
      <c r="G40" s="83" t="n"/>
      <c r="H40" s="25" t="n"/>
      <c r="I40" s="25" t="n"/>
      <c r="J40" s="25" t="n"/>
    </row>
    <row r="41">
      <c r="A41" s="27" t="n"/>
      <c r="B41" s="27">
        <f>IF(A41="","",IFERROR(VLOOKUP(A41,'02_Employee_Master'!$A$6:$B$25,2,FALSE),""))</f>
        <v/>
      </c>
      <c r="C41" s="27">
        <f>IF(A41="","",IFERROR(VLOOKUP(A41,'02_Employee_Master'!$A$6:$D$25,4,FALSE),""))</f>
        <v/>
      </c>
      <c r="D41" s="27" t="n"/>
      <c r="E41" s="27" t="n"/>
      <c r="F41" s="84" t="n"/>
      <c r="G41" s="84" t="n"/>
      <c r="H41" s="27" t="n"/>
      <c r="I41" s="27" t="n"/>
      <c r="J41" s="27" t="n"/>
    </row>
    <row r="42">
      <c r="A42" s="25" t="n"/>
      <c r="B42" s="25">
        <f>IF(A42="","",IFERROR(VLOOKUP(A42,'02_Employee_Master'!$A$6:$B$25,2,FALSE),""))</f>
        <v/>
      </c>
      <c r="C42" s="25">
        <f>IF(A42="","",IFERROR(VLOOKUP(A42,'02_Employee_Master'!$A$6:$D$25,4,FALSE),""))</f>
        <v/>
      </c>
      <c r="D42" s="25" t="n"/>
      <c r="E42" s="25" t="n"/>
      <c r="F42" s="83" t="n"/>
      <c r="G42" s="83" t="n"/>
      <c r="H42" s="25" t="n"/>
      <c r="I42" s="25" t="n"/>
      <c r="J42" s="25" t="n"/>
    </row>
    <row r="43">
      <c r="A43" s="27" t="n"/>
      <c r="B43" s="27">
        <f>IF(A43="","",IFERROR(VLOOKUP(A43,'02_Employee_Master'!$A$6:$B$25,2,FALSE),""))</f>
        <v/>
      </c>
      <c r="C43" s="27">
        <f>IF(A43="","",IFERROR(VLOOKUP(A43,'02_Employee_Master'!$A$6:$D$25,4,FALSE),""))</f>
        <v/>
      </c>
      <c r="D43" s="27" t="n"/>
      <c r="E43" s="27" t="n"/>
      <c r="F43" s="84" t="n"/>
      <c r="G43" s="84" t="n"/>
      <c r="H43" s="27" t="n"/>
      <c r="I43" s="27" t="n"/>
      <c r="J43" s="27" t="n"/>
    </row>
    <row r="44">
      <c r="A44" s="25" t="n"/>
      <c r="B44" s="25">
        <f>IF(A44="","",IFERROR(VLOOKUP(A44,'02_Employee_Master'!$A$6:$B$25,2,FALSE),""))</f>
        <v/>
      </c>
      <c r="C44" s="25">
        <f>IF(A44="","",IFERROR(VLOOKUP(A44,'02_Employee_Master'!$A$6:$D$25,4,FALSE),""))</f>
        <v/>
      </c>
      <c r="D44" s="25" t="n"/>
      <c r="E44" s="25" t="n"/>
      <c r="F44" s="83" t="n"/>
      <c r="G44" s="83" t="n"/>
      <c r="H44" s="25" t="n"/>
      <c r="I44" s="25" t="n"/>
      <c r="J44" s="25" t="n"/>
    </row>
    <row r="45">
      <c r="A45" s="27" t="n"/>
      <c r="B45" s="27">
        <f>IF(A45="","",IFERROR(VLOOKUP(A45,'02_Employee_Master'!$A$6:$B$25,2,FALSE),""))</f>
        <v/>
      </c>
      <c r="C45" s="27">
        <f>IF(A45="","",IFERROR(VLOOKUP(A45,'02_Employee_Master'!$A$6:$D$25,4,FALSE),""))</f>
        <v/>
      </c>
      <c r="D45" s="27" t="n"/>
      <c r="E45" s="27" t="n"/>
      <c r="F45" s="84" t="n"/>
      <c r="G45" s="84" t="n"/>
      <c r="H45" s="27" t="n"/>
      <c r="I45" s="27" t="n"/>
      <c r="J45" s="27" t="n"/>
    </row>
    <row r="46">
      <c r="A46" s="25" t="n"/>
      <c r="B46" s="25">
        <f>IF(A46="","",IFERROR(VLOOKUP(A46,'02_Employee_Master'!$A$6:$B$25,2,FALSE),""))</f>
        <v/>
      </c>
      <c r="C46" s="25">
        <f>IF(A46="","",IFERROR(VLOOKUP(A46,'02_Employee_Master'!$A$6:$D$25,4,FALSE),""))</f>
        <v/>
      </c>
      <c r="D46" s="25" t="n"/>
      <c r="E46" s="25" t="n"/>
      <c r="F46" s="83" t="n"/>
      <c r="G46" s="83" t="n"/>
      <c r="H46" s="25" t="n"/>
      <c r="I46" s="25" t="n"/>
      <c r="J46" s="25" t="n"/>
    </row>
    <row r="47">
      <c r="A47" s="27" t="n"/>
      <c r="B47" s="27">
        <f>IF(A47="","",IFERROR(VLOOKUP(A47,'02_Employee_Master'!$A$6:$B$25,2,FALSE),""))</f>
        <v/>
      </c>
      <c r="C47" s="27">
        <f>IF(A47="","",IFERROR(VLOOKUP(A47,'02_Employee_Master'!$A$6:$D$25,4,FALSE),""))</f>
        <v/>
      </c>
      <c r="D47" s="27" t="n"/>
      <c r="E47" s="27" t="n"/>
      <c r="F47" s="84" t="n"/>
      <c r="G47" s="84" t="n"/>
      <c r="H47" s="27" t="n"/>
      <c r="I47" s="27" t="n"/>
      <c r="J47" s="27" t="n"/>
    </row>
    <row r="48">
      <c r="A48" s="25" t="n"/>
      <c r="B48" s="25">
        <f>IF(A48="","",IFERROR(VLOOKUP(A48,'02_Employee_Master'!$A$6:$B$25,2,FALSE),""))</f>
        <v/>
      </c>
      <c r="C48" s="25">
        <f>IF(A48="","",IFERROR(VLOOKUP(A48,'02_Employee_Master'!$A$6:$D$25,4,FALSE),""))</f>
        <v/>
      </c>
      <c r="D48" s="25" t="n"/>
      <c r="E48" s="25" t="n"/>
      <c r="F48" s="83" t="n"/>
      <c r="G48" s="83" t="n"/>
      <c r="H48" s="25" t="n"/>
      <c r="I48" s="25" t="n"/>
      <c r="J48" s="25" t="n"/>
    </row>
    <row r="49">
      <c r="A49" s="27" t="n"/>
      <c r="B49" s="27">
        <f>IF(A49="","",IFERROR(VLOOKUP(A49,'02_Employee_Master'!$A$6:$B$25,2,FALSE),""))</f>
        <v/>
      </c>
      <c r="C49" s="27">
        <f>IF(A49="","",IFERROR(VLOOKUP(A49,'02_Employee_Master'!$A$6:$D$25,4,FALSE),""))</f>
        <v/>
      </c>
      <c r="D49" s="27" t="n"/>
      <c r="E49" s="27" t="n"/>
      <c r="F49" s="84" t="n"/>
      <c r="G49" s="84" t="n"/>
      <c r="H49" s="27" t="n"/>
      <c r="I49" s="27" t="n"/>
      <c r="J49" s="27" t="n"/>
    </row>
    <row r="50">
      <c r="A50" s="25" t="n"/>
      <c r="B50" s="25">
        <f>IF(A50="","",IFERROR(VLOOKUP(A50,'02_Employee_Master'!$A$6:$B$25,2,FALSE),""))</f>
        <v/>
      </c>
      <c r="C50" s="25">
        <f>IF(A50="","",IFERROR(VLOOKUP(A50,'02_Employee_Master'!$A$6:$D$25,4,FALSE),""))</f>
        <v/>
      </c>
      <c r="D50" s="25" t="n"/>
      <c r="E50" s="25" t="n"/>
      <c r="F50" s="83" t="n"/>
      <c r="G50" s="83" t="n"/>
      <c r="H50" s="25" t="n"/>
      <c r="I50" s="25" t="n"/>
      <c r="J50" s="25" t="n"/>
    </row>
    <row r="51">
      <c r="A51" s="27" t="n"/>
      <c r="B51" s="27">
        <f>IF(A51="","",IFERROR(VLOOKUP(A51,'02_Employee_Master'!$A$6:$B$25,2,FALSE),""))</f>
        <v/>
      </c>
      <c r="C51" s="27">
        <f>IF(A51="","",IFERROR(VLOOKUP(A51,'02_Employee_Master'!$A$6:$D$25,4,FALSE),""))</f>
        <v/>
      </c>
      <c r="D51" s="27" t="n"/>
      <c r="E51" s="27" t="n"/>
      <c r="F51" s="84" t="n"/>
      <c r="G51" s="84" t="n"/>
      <c r="H51" s="27" t="n"/>
      <c r="I51" s="27" t="n"/>
      <c r="J51" s="27" t="n"/>
    </row>
    <row r="52">
      <c r="A52" s="25" t="n"/>
      <c r="B52" s="25">
        <f>IF(A52="","",IFERROR(VLOOKUP(A52,'02_Employee_Master'!$A$6:$B$25,2,FALSE),""))</f>
        <v/>
      </c>
      <c r="C52" s="25">
        <f>IF(A52="","",IFERROR(VLOOKUP(A52,'02_Employee_Master'!$A$6:$D$25,4,FALSE),""))</f>
        <v/>
      </c>
      <c r="D52" s="25" t="n"/>
      <c r="E52" s="25" t="n"/>
      <c r="F52" s="83" t="n"/>
      <c r="G52" s="83" t="n"/>
      <c r="H52" s="25" t="n"/>
      <c r="I52" s="25" t="n"/>
      <c r="J52" s="25" t="n"/>
    </row>
    <row r="53">
      <c r="A53" s="27" t="n"/>
      <c r="B53" s="27">
        <f>IF(A53="","",IFERROR(VLOOKUP(A53,'02_Employee_Master'!$A$6:$B$25,2,FALSE),""))</f>
        <v/>
      </c>
      <c r="C53" s="27">
        <f>IF(A53="","",IFERROR(VLOOKUP(A53,'02_Employee_Master'!$A$6:$D$25,4,FALSE),""))</f>
        <v/>
      </c>
      <c r="D53" s="27" t="n"/>
      <c r="E53" s="27" t="n"/>
      <c r="F53" s="84" t="n"/>
      <c r="G53" s="84" t="n"/>
      <c r="H53" s="27" t="n"/>
      <c r="I53" s="27" t="n"/>
      <c r="J53" s="27" t="n"/>
    </row>
    <row r="54">
      <c r="A54" s="25" t="n"/>
      <c r="B54" s="25">
        <f>IF(A54="","",IFERROR(VLOOKUP(A54,'02_Employee_Master'!$A$6:$B$25,2,FALSE),""))</f>
        <v/>
      </c>
      <c r="C54" s="25">
        <f>IF(A54="","",IFERROR(VLOOKUP(A54,'02_Employee_Master'!$A$6:$D$25,4,FALSE),""))</f>
        <v/>
      </c>
      <c r="D54" s="25" t="n"/>
      <c r="E54" s="25" t="n"/>
      <c r="F54" s="83" t="n"/>
      <c r="G54" s="83" t="n"/>
      <c r="H54" s="25" t="n"/>
      <c r="I54" s="25" t="n"/>
      <c r="J54" s="25" t="n"/>
    </row>
    <row r="55">
      <c r="A55" s="27" t="n"/>
      <c r="B55" s="27">
        <f>IF(A55="","",IFERROR(VLOOKUP(A55,'02_Employee_Master'!$A$6:$B$25,2,FALSE),""))</f>
        <v/>
      </c>
      <c r="C55" s="27">
        <f>IF(A55="","",IFERROR(VLOOKUP(A55,'02_Employee_Master'!$A$6:$D$25,4,FALSE),""))</f>
        <v/>
      </c>
      <c r="D55" s="27" t="n"/>
      <c r="E55" s="27" t="n"/>
      <c r="F55" s="84" t="n"/>
      <c r="G55" s="84" t="n"/>
      <c r="H55" s="27" t="n"/>
      <c r="I55" s="27" t="n"/>
      <c r="J55" s="27" t="n"/>
    </row>
    <row r="56">
      <c r="A56" s="25" t="n"/>
      <c r="B56" s="25">
        <f>IF(A56="","",IFERROR(VLOOKUP(A56,'02_Employee_Master'!$A$6:$B$25,2,FALSE),""))</f>
        <v/>
      </c>
      <c r="C56" s="25">
        <f>IF(A56="","",IFERROR(VLOOKUP(A56,'02_Employee_Master'!$A$6:$D$25,4,FALSE),""))</f>
        <v/>
      </c>
      <c r="D56" s="25" t="n"/>
      <c r="E56" s="25" t="n"/>
      <c r="F56" s="83" t="n"/>
      <c r="G56" s="83" t="n"/>
      <c r="H56" s="25" t="n"/>
      <c r="I56" s="25" t="n"/>
      <c r="J56" s="25" t="n"/>
    </row>
    <row r="57">
      <c r="A57" s="27" t="n"/>
      <c r="B57" s="27">
        <f>IF(A57="","",IFERROR(VLOOKUP(A57,'02_Employee_Master'!$A$6:$B$25,2,FALSE),""))</f>
        <v/>
      </c>
      <c r="C57" s="27">
        <f>IF(A57="","",IFERROR(VLOOKUP(A57,'02_Employee_Master'!$A$6:$D$25,4,FALSE),""))</f>
        <v/>
      </c>
      <c r="D57" s="27" t="n"/>
      <c r="E57" s="27" t="n"/>
      <c r="F57" s="84" t="n"/>
      <c r="G57" s="84" t="n"/>
      <c r="H57" s="27" t="n"/>
      <c r="I57" s="27" t="n"/>
      <c r="J57" s="27" t="n"/>
    </row>
    <row r="58">
      <c r="A58" s="25" t="n"/>
      <c r="B58" s="25">
        <f>IF(A58="","",IFERROR(VLOOKUP(A58,'02_Employee_Master'!$A$6:$B$25,2,FALSE),""))</f>
        <v/>
      </c>
      <c r="C58" s="25">
        <f>IF(A58="","",IFERROR(VLOOKUP(A58,'02_Employee_Master'!$A$6:$D$25,4,FALSE),""))</f>
        <v/>
      </c>
      <c r="D58" s="25" t="n"/>
      <c r="E58" s="25" t="n"/>
      <c r="F58" s="83" t="n"/>
      <c r="G58" s="83" t="n"/>
      <c r="H58" s="25" t="n"/>
      <c r="I58" s="25" t="n"/>
      <c r="J58" s="25" t="n"/>
    </row>
    <row r="59">
      <c r="A59" s="27" t="n"/>
      <c r="B59" s="27">
        <f>IF(A59="","",IFERROR(VLOOKUP(A59,'02_Employee_Master'!$A$6:$B$25,2,FALSE),""))</f>
        <v/>
      </c>
      <c r="C59" s="27">
        <f>IF(A59="","",IFERROR(VLOOKUP(A59,'02_Employee_Master'!$A$6:$D$25,4,FALSE),""))</f>
        <v/>
      </c>
      <c r="D59" s="27" t="n"/>
      <c r="E59" s="27" t="n"/>
      <c r="F59" s="84" t="n"/>
      <c r="G59" s="84" t="n"/>
      <c r="H59" s="27" t="n"/>
      <c r="I59" s="27" t="n"/>
      <c r="J59" s="27" t="n"/>
    </row>
    <row r="60">
      <c r="A60" s="25" t="n"/>
      <c r="B60" s="25">
        <f>IF(A60="","",IFERROR(VLOOKUP(A60,'02_Employee_Master'!$A$6:$B$25,2,FALSE),""))</f>
        <v/>
      </c>
      <c r="C60" s="25">
        <f>IF(A60="","",IFERROR(VLOOKUP(A60,'02_Employee_Master'!$A$6:$D$25,4,FALSE),""))</f>
        <v/>
      </c>
      <c r="D60" s="25" t="n"/>
      <c r="E60" s="25" t="n"/>
      <c r="F60" s="83" t="n"/>
      <c r="G60" s="83" t="n"/>
      <c r="H60" s="25" t="n"/>
      <c r="I60" s="25" t="n"/>
      <c r="J60" s="25" t="n"/>
    </row>
    <row r="61">
      <c r="A61" s="27" t="n"/>
      <c r="B61" s="27">
        <f>IF(A61="","",IFERROR(VLOOKUP(A61,'02_Employee_Master'!$A$6:$B$25,2,FALSE),""))</f>
        <v/>
      </c>
      <c r="C61" s="27">
        <f>IF(A61="","",IFERROR(VLOOKUP(A61,'02_Employee_Master'!$A$6:$D$25,4,FALSE),""))</f>
        <v/>
      </c>
      <c r="D61" s="27" t="n"/>
      <c r="E61" s="27" t="n"/>
      <c r="F61" s="84" t="n"/>
      <c r="G61" s="84" t="n"/>
      <c r="H61" s="27" t="n"/>
      <c r="I61" s="27" t="n"/>
      <c r="J61" s="27" t="n"/>
    </row>
    <row r="62">
      <c r="A62" s="25" t="n"/>
      <c r="B62" s="25">
        <f>IF(A62="","",IFERROR(VLOOKUP(A62,'02_Employee_Master'!$A$6:$B$25,2,FALSE),""))</f>
        <v/>
      </c>
      <c r="C62" s="25">
        <f>IF(A62="","",IFERROR(VLOOKUP(A62,'02_Employee_Master'!$A$6:$D$25,4,FALSE),""))</f>
        <v/>
      </c>
      <c r="D62" s="25" t="n"/>
      <c r="E62" s="25" t="n"/>
      <c r="F62" s="83" t="n"/>
      <c r="G62" s="83" t="n"/>
      <c r="H62" s="25" t="n"/>
      <c r="I62" s="25" t="n"/>
      <c r="J62" s="25" t="n"/>
    </row>
    <row r="63">
      <c r="A63" s="27" t="n"/>
      <c r="B63" s="27">
        <f>IF(A63="","",IFERROR(VLOOKUP(A63,'02_Employee_Master'!$A$6:$B$25,2,FALSE),""))</f>
        <v/>
      </c>
      <c r="C63" s="27">
        <f>IF(A63="","",IFERROR(VLOOKUP(A63,'02_Employee_Master'!$A$6:$D$25,4,FALSE),""))</f>
        <v/>
      </c>
      <c r="D63" s="27" t="n"/>
      <c r="E63" s="27" t="n"/>
      <c r="F63" s="84" t="n"/>
      <c r="G63" s="84" t="n"/>
      <c r="H63" s="27" t="n"/>
      <c r="I63" s="27" t="n"/>
      <c r="J63" s="27" t="n"/>
    </row>
    <row r="64">
      <c r="A64" s="25" t="n"/>
      <c r="B64" s="25">
        <f>IF(A64="","",IFERROR(VLOOKUP(A64,'02_Employee_Master'!$A$6:$B$25,2,FALSE),""))</f>
        <v/>
      </c>
      <c r="C64" s="25">
        <f>IF(A64="","",IFERROR(VLOOKUP(A64,'02_Employee_Master'!$A$6:$D$25,4,FALSE),""))</f>
        <v/>
      </c>
      <c r="D64" s="25" t="n"/>
      <c r="E64" s="25" t="n"/>
      <c r="F64" s="83" t="n"/>
      <c r="G64" s="83" t="n"/>
      <c r="H64" s="25" t="n"/>
      <c r="I64" s="25" t="n"/>
      <c r="J64" s="25" t="n"/>
    </row>
    <row r="65">
      <c r="A65" s="27" t="n"/>
      <c r="B65" s="27">
        <f>IF(A65="","",IFERROR(VLOOKUP(A65,'02_Employee_Master'!$A$6:$B$25,2,FALSE),""))</f>
        <v/>
      </c>
      <c r="C65" s="27">
        <f>IF(A65="","",IFERROR(VLOOKUP(A65,'02_Employee_Master'!$A$6:$D$25,4,FALSE),""))</f>
        <v/>
      </c>
      <c r="D65" s="27" t="n"/>
      <c r="E65" s="27" t="n"/>
      <c r="F65" s="84" t="n"/>
      <c r="G65" s="84" t="n"/>
      <c r="H65" s="27" t="n"/>
      <c r="I65" s="27" t="n"/>
      <c r="J65" s="27" t="n"/>
    </row>
    <row r="66">
      <c r="A66" s="25" t="n"/>
      <c r="B66" s="25">
        <f>IF(A66="","",IFERROR(VLOOKUP(A66,'02_Employee_Master'!$A$6:$B$25,2,FALSE),""))</f>
        <v/>
      </c>
      <c r="C66" s="25">
        <f>IF(A66="","",IFERROR(VLOOKUP(A66,'02_Employee_Master'!$A$6:$D$25,4,FALSE),""))</f>
        <v/>
      </c>
      <c r="D66" s="25" t="n"/>
      <c r="E66" s="25" t="n"/>
      <c r="F66" s="83" t="n"/>
      <c r="G66" s="83" t="n"/>
      <c r="H66" s="25" t="n"/>
      <c r="I66" s="25" t="n"/>
      <c r="J66" s="25" t="n"/>
    </row>
    <row r="67">
      <c r="A67" s="27" t="n"/>
      <c r="B67" s="27">
        <f>IF(A67="","",IFERROR(VLOOKUP(A67,'02_Employee_Master'!$A$6:$B$25,2,FALSE),""))</f>
        <v/>
      </c>
      <c r="C67" s="27">
        <f>IF(A67="","",IFERROR(VLOOKUP(A67,'02_Employee_Master'!$A$6:$D$25,4,FALSE),""))</f>
        <v/>
      </c>
      <c r="D67" s="27" t="n"/>
      <c r="E67" s="27" t="n"/>
      <c r="F67" s="84" t="n"/>
      <c r="G67" s="84" t="n"/>
      <c r="H67" s="27" t="n"/>
      <c r="I67" s="27" t="n"/>
      <c r="J67" s="27" t="n"/>
    </row>
    <row r="68">
      <c r="A68" s="25" t="n"/>
      <c r="B68" s="25">
        <f>IF(A68="","",IFERROR(VLOOKUP(A68,'02_Employee_Master'!$A$6:$B$25,2,FALSE),""))</f>
        <v/>
      </c>
      <c r="C68" s="25">
        <f>IF(A68="","",IFERROR(VLOOKUP(A68,'02_Employee_Master'!$A$6:$D$25,4,FALSE),""))</f>
        <v/>
      </c>
      <c r="D68" s="25" t="n"/>
      <c r="E68" s="25" t="n"/>
      <c r="F68" s="83" t="n"/>
      <c r="G68" s="83" t="n"/>
      <c r="H68" s="25" t="n"/>
      <c r="I68" s="25" t="n"/>
      <c r="J68" s="25" t="n"/>
    </row>
    <row r="69">
      <c r="A69" s="27" t="n"/>
      <c r="B69" s="27">
        <f>IF(A69="","",IFERROR(VLOOKUP(A69,'02_Employee_Master'!$A$6:$B$25,2,FALSE),""))</f>
        <v/>
      </c>
      <c r="C69" s="27">
        <f>IF(A69="","",IFERROR(VLOOKUP(A69,'02_Employee_Master'!$A$6:$D$25,4,FALSE),""))</f>
        <v/>
      </c>
      <c r="D69" s="27" t="n"/>
      <c r="E69" s="27" t="n"/>
      <c r="F69" s="84" t="n"/>
      <c r="G69" s="84" t="n"/>
      <c r="H69" s="27" t="n"/>
      <c r="I69" s="27" t="n"/>
      <c r="J69" s="27" t="n"/>
    </row>
    <row r="70">
      <c r="A70" s="25" t="n"/>
      <c r="B70" s="25">
        <f>IF(A70="","",IFERROR(VLOOKUP(A70,'02_Employee_Master'!$A$6:$B$25,2,FALSE),""))</f>
        <v/>
      </c>
      <c r="C70" s="25">
        <f>IF(A70="","",IFERROR(VLOOKUP(A70,'02_Employee_Master'!$A$6:$D$25,4,FALSE),""))</f>
        <v/>
      </c>
      <c r="D70" s="25" t="n"/>
      <c r="E70" s="25" t="n"/>
      <c r="F70" s="83" t="n"/>
      <c r="G70" s="83" t="n"/>
      <c r="H70" s="25" t="n"/>
      <c r="I70" s="25" t="n"/>
      <c r="J70" s="25" t="n"/>
    </row>
    <row r="71">
      <c r="A71" s="27" t="n"/>
      <c r="B71" s="27">
        <f>IF(A71="","",IFERROR(VLOOKUP(A71,'02_Employee_Master'!$A$6:$B$25,2,FALSE),""))</f>
        <v/>
      </c>
      <c r="C71" s="27">
        <f>IF(A71="","",IFERROR(VLOOKUP(A71,'02_Employee_Master'!$A$6:$D$25,4,FALSE),""))</f>
        <v/>
      </c>
      <c r="D71" s="27" t="n"/>
      <c r="E71" s="27" t="n"/>
      <c r="F71" s="84" t="n"/>
      <c r="G71" s="84" t="n"/>
      <c r="H71" s="27" t="n"/>
      <c r="I71" s="27" t="n"/>
      <c r="J71" s="27" t="n"/>
    </row>
    <row r="72">
      <c r="A72" s="25" t="n"/>
      <c r="B72" s="25">
        <f>IF(A72="","",IFERROR(VLOOKUP(A72,'02_Employee_Master'!$A$6:$B$25,2,FALSE),""))</f>
        <v/>
      </c>
      <c r="C72" s="25">
        <f>IF(A72="","",IFERROR(VLOOKUP(A72,'02_Employee_Master'!$A$6:$D$25,4,FALSE),""))</f>
        <v/>
      </c>
      <c r="D72" s="25" t="n"/>
      <c r="E72" s="25" t="n"/>
      <c r="F72" s="83" t="n"/>
      <c r="G72" s="83" t="n"/>
      <c r="H72" s="25" t="n"/>
      <c r="I72" s="25" t="n"/>
      <c r="J72" s="25" t="n"/>
    </row>
    <row r="73">
      <c r="A73" s="27" t="n"/>
      <c r="B73" s="27">
        <f>IF(A73="","",IFERROR(VLOOKUP(A73,'02_Employee_Master'!$A$6:$B$25,2,FALSE),""))</f>
        <v/>
      </c>
      <c r="C73" s="27">
        <f>IF(A73="","",IFERROR(VLOOKUP(A73,'02_Employee_Master'!$A$6:$D$25,4,FALSE),""))</f>
        <v/>
      </c>
      <c r="D73" s="27" t="n"/>
      <c r="E73" s="27" t="n"/>
      <c r="F73" s="84" t="n"/>
      <c r="G73" s="84" t="n"/>
      <c r="H73" s="27" t="n"/>
      <c r="I73" s="27" t="n"/>
      <c r="J73" s="27" t="n"/>
    </row>
    <row r="74">
      <c r="A74" s="25" t="n"/>
      <c r="B74" s="25">
        <f>IF(A74="","",IFERROR(VLOOKUP(A74,'02_Employee_Master'!$A$6:$B$25,2,FALSE),""))</f>
        <v/>
      </c>
      <c r="C74" s="25">
        <f>IF(A74="","",IFERROR(VLOOKUP(A74,'02_Employee_Master'!$A$6:$D$25,4,FALSE),""))</f>
        <v/>
      </c>
      <c r="D74" s="25" t="n"/>
      <c r="E74" s="25" t="n"/>
      <c r="F74" s="83" t="n"/>
      <c r="G74" s="83" t="n"/>
      <c r="H74" s="25" t="n"/>
      <c r="I74" s="25" t="n"/>
      <c r="J74" s="25" t="n"/>
    </row>
    <row r="75">
      <c r="A75" s="27" t="n"/>
      <c r="B75" s="27">
        <f>IF(A75="","",IFERROR(VLOOKUP(A75,'02_Employee_Master'!$A$6:$B$25,2,FALSE),""))</f>
        <v/>
      </c>
      <c r="C75" s="27">
        <f>IF(A75="","",IFERROR(VLOOKUP(A75,'02_Employee_Master'!$A$6:$D$25,4,FALSE),""))</f>
        <v/>
      </c>
      <c r="D75" s="27" t="n"/>
      <c r="E75" s="27" t="n"/>
      <c r="F75" s="84" t="n"/>
      <c r="G75" s="84" t="n"/>
      <c r="H75" s="27" t="n"/>
      <c r="I75" s="27" t="n"/>
      <c r="J75" s="27" t="n"/>
    </row>
    <row r="76">
      <c r="A76" s="25" t="n"/>
      <c r="B76" s="25">
        <f>IF(A76="","",IFERROR(VLOOKUP(A76,'02_Employee_Master'!$A$6:$B$25,2,FALSE),""))</f>
        <v/>
      </c>
      <c r="C76" s="25">
        <f>IF(A76="","",IFERROR(VLOOKUP(A76,'02_Employee_Master'!$A$6:$D$25,4,FALSE),""))</f>
        <v/>
      </c>
      <c r="D76" s="25" t="n"/>
      <c r="E76" s="25" t="n"/>
      <c r="F76" s="83" t="n"/>
      <c r="G76" s="83" t="n"/>
      <c r="H76" s="25" t="n"/>
      <c r="I76" s="25" t="n"/>
      <c r="J76" s="25" t="n"/>
    </row>
    <row r="77">
      <c r="A77" s="27" t="n"/>
      <c r="B77" s="27">
        <f>IF(A77="","",IFERROR(VLOOKUP(A77,'02_Employee_Master'!$A$6:$B$25,2,FALSE),""))</f>
        <v/>
      </c>
      <c r="C77" s="27">
        <f>IF(A77="","",IFERROR(VLOOKUP(A77,'02_Employee_Master'!$A$6:$D$25,4,FALSE),""))</f>
        <v/>
      </c>
      <c r="D77" s="27" t="n"/>
      <c r="E77" s="27" t="n"/>
      <c r="F77" s="84" t="n"/>
      <c r="G77" s="84" t="n"/>
      <c r="H77" s="27" t="n"/>
      <c r="I77" s="27" t="n"/>
      <c r="J77" s="27" t="n"/>
    </row>
    <row r="78">
      <c r="A78" s="25" t="n"/>
      <c r="B78" s="25">
        <f>IF(A78="","",IFERROR(VLOOKUP(A78,'02_Employee_Master'!$A$6:$B$25,2,FALSE),""))</f>
        <v/>
      </c>
      <c r="C78" s="25">
        <f>IF(A78="","",IFERROR(VLOOKUP(A78,'02_Employee_Master'!$A$6:$D$25,4,FALSE),""))</f>
        <v/>
      </c>
      <c r="D78" s="25" t="n"/>
      <c r="E78" s="25" t="n"/>
      <c r="F78" s="83" t="n"/>
      <c r="G78" s="83" t="n"/>
      <c r="H78" s="25" t="n"/>
      <c r="I78" s="25" t="n"/>
      <c r="J78" s="25" t="n"/>
    </row>
    <row r="79">
      <c r="A79" s="27" t="n"/>
      <c r="B79" s="27">
        <f>IF(A79="","",IFERROR(VLOOKUP(A79,'02_Employee_Master'!$A$6:$B$25,2,FALSE),""))</f>
        <v/>
      </c>
      <c r="C79" s="27">
        <f>IF(A79="","",IFERROR(VLOOKUP(A79,'02_Employee_Master'!$A$6:$D$25,4,FALSE),""))</f>
        <v/>
      </c>
      <c r="D79" s="27" t="n"/>
      <c r="E79" s="27" t="n"/>
      <c r="F79" s="84" t="n"/>
      <c r="G79" s="84" t="n"/>
      <c r="H79" s="27" t="n"/>
      <c r="I79" s="27" t="n"/>
      <c r="J79" s="27" t="n"/>
    </row>
  </sheetData>
  <mergeCells count="5">
    <mergeCell ref="A3:N3"/>
    <mergeCell ref="A2:N2"/>
    <mergeCell ref="A5:O5"/>
    <mergeCell ref="A28:J28"/>
    <mergeCell ref="A1:N1"/>
  </mergeCells>
  <conditionalFormatting sqref="F7:F26">
    <cfRule type="cellIs" priority="1" operator="lessThanOrEqual" dxfId="30">
      <formula>2</formula>
    </cfRule>
  </conditionalFormatting>
  <conditionalFormatting sqref="I7:I26">
    <cfRule type="cellIs" priority="2" operator="lessThanOrEqual" dxfId="30">
      <formula>2</formula>
    </cfRule>
  </conditionalFormatting>
  <conditionalFormatting sqref="L7:L26">
    <cfRule type="cellIs" priority="3" operator="lessThanOrEqual" dxfId="30">
      <formula>2</formula>
    </cfRule>
  </conditionalFormatting>
  <conditionalFormatting sqref="O7:O26">
    <cfRule type="cellIs" priority="4" operator="lessThanOrEqual" dxfId="30">
      <formula>2</formula>
    </cfRule>
  </conditionalFormatting>
  <conditionalFormatting sqref="H30:H79">
    <cfRule type="cellIs" priority="5" operator="equal" dxfId="0">
      <formula>"Approved"</formula>
    </cfRule>
    <cfRule type="cellIs" priority="6" operator="equal" dxfId="30">
      <formula>"Pending"</formula>
    </cfRule>
    <cfRule type="cellIs" priority="7" operator="equal" dxfId="31">
      <formula>"Rejected"</formula>
    </cfRule>
    <cfRule type="cellIs" priority="8" operator="equal" dxfId="1">
      <formula>"Cancelled"</formula>
    </cfRule>
  </conditionalFormatting>
  <dataValidations count="3">
    <dataValidation sqref="A30 A31 A32 A33 A34 A35 A36 A37 A38 A39 A40 A41 A42 A43 A44 A45 A46 A47 A48 A49 A50 A51 A52 A53 A54 A55 A56 A57 A58 A59 A60 A61 A62 A63 A64 A65 A66 A67 A68 A69 A70 A71 A72 A73 A74 A75 A76 A77 A78 A79" showDropDown="0" showInputMessage="0" showErrorMessage="0" allowBlank="1" type="list">
      <formula1>'02_Employee_Master'!$A$6:$A$25</formula1>
    </dataValidation>
    <dataValidation sqref="D30 D31 D32 D33 D34 D35 D36 D37 D38 D39 D40 D41 D42 D43 D44 D45 D46 D47 D48 D49 D50 D51 D52 D53 D54 D55 D56 D57 D58 D59 D60 D61 D62 D63 D64 D65 D66 D67 D68 D69 D70 D71 D72 D73 D74 D75 D76 D77 D78 D79" showDropDown="0" showInputMessage="0" showErrorMessage="0" allowBlank="1" type="list">
      <formula1>'01_Config'!$G$17:$G$20</formula1>
    </dataValidation>
    <dataValidation sqref="H30 H31 H32 H33 H34 H35 H36 H37 H38 H39 H40 H41 H42 H43 H44 H45 H46 H47 H48 H49 H50 H51 H52 H53 H54 H55 H56 H57 H58 H59 H60 H61 H62 H63 H64 H65 H66 H67 H68 H69 H70 H71 H72 H73 H74 H75 H76 H77 H78 H79" showDropDown="0" showInputMessage="0" showErrorMessage="0" allowBlank="1" type="list">
      <formula1>'01_Config'!$H$17:$H$20</formula1>
    </dataValidation>
  </dataValidations>
  <pageMargins left="0.4" right="0.4" top="0.5" bottom="0.5" header="0.2" footer="0.2"/>
  <pageSetup orientation="landscape" paperSize="9" fitToHeight="0" fitToWidth="1"/>
</worksheet>
</file>

<file path=xl/worksheets/sheet12.xml><?xml version="1.0" encoding="utf-8"?>
<worksheet xmlns="http://schemas.openxmlformats.org/spreadsheetml/2006/main">
  <sheetPr>
    <tabColor rgb="00C7522A"/>
    <outlinePr summaryBelow="1" summaryRight="1"/>
    <pageSetUpPr fitToPage="1"/>
  </sheetPr>
  <dimension ref="A1:L60"/>
  <sheetViews>
    <sheetView showGridLines="0" zoomScale="90" workbookViewId="0">
      <selection activeCell="A1" sqref="A1"/>
    </sheetView>
  </sheetViews>
  <sheetFormatPr baseColWidth="8" defaultRowHeight="15"/>
  <cols>
    <col width="3" customWidth="1" min="1" max="1"/>
    <col width="18" customWidth="1" min="2" max="2"/>
    <col width="14" customWidth="1" min="3" max="3"/>
    <col width="14" customWidth="1" min="4" max="4"/>
    <col width="14" customWidth="1" min="5" max="5"/>
    <col width="14" customWidth="1" min="6" max="6"/>
    <col width="3" customWidth="1" min="7" max="7"/>
    <col width="22" customWidth="1" min="8" max="8"/>
    <col width="12" customWidth="1" min="9" max="9"/>
    <col width="12" customWidth="1" min="10" max="10"/>
    <col width="12" customWidth="1" min="11" max="11"/>
    <col width="14" customWidth="1" min="12" max="12"/>
  </cols>
  <sheetData>
    <row r="1" ht="16" customHeight="1">
      <c r="A1" s="1" t="inlineStr">
        <is>
          <t>PATHCARE DIAGNOSTICS  ·  Pathology Laboratory</t>
        </is>
      </c>
      <c r="B1" s="2" t="n"/>
      <c r="C1" s="2" t="n"/>
      <c r="D1" s="2" t="n"/>
      <c r="E1" s="2" t="n"/>
      <c r="F1" s="2" t="n"/>
      <c r="G1" s="2" t="n"/>
      <c r="H1" s="2" t="n"/>
      <c r="I1" s="2" t="n"/>
      <c r="J1" s="2" t="n"/>
      <c r="K1" s="2" t="n"/>
      <c r="L1" s="2" t="n"/>
    </row>
    <row r="2" ht="26" customHeight="1">
      <c r="A2" s="3" t="inlineStr">
        <is>
          <t>WORKFORCE DASHBOARD</t>
        </is>
      </c>
      <c r="B2" s="2" t="n"/>
      <c r="C2" s="2" t="n"/>
      <c r="D2" s="2" t="n"/>
      <c r="E2" s="2" t="n"/>
      <c r="F2" s="2" t="n"/>
      <c r="G2" s="2" t="n"/>
      <c r="H2" s="2" t="n"/>
      <c r="I2" s="2" t="n"/>
      <c r="J2" s="2" t="n"/>
      <c r="K2" s="2" t="n"/>
      <c r="L2" s="2" t="n"/>
    </row>
    <row r="3" ht="18" customHeight="1">
      <c r="A3" s="4" t="inlineStr">
        <is>
          <t>Live management view  ·  September 2026  ·  Formula-driven from Master / Roster / Attendance / Leave</t>
        </is>
      </c>
      <c r="B3" s="2" t="n"/>
      <c r="C3" s="2" t="n"/>
      <c r="D3" s="2" t="n"/>
      <c r="E3" s="2" t="n"/>
      <c r="F3" s="2" t="n"/>
      <c r="G3" s="2" t="n"/>
      <c r="H3" s="2" t="n"/>
      <c r="I3" s="2" t="n"/>
      <c r="J3" s="2" t="n"/>
      <c r="K3" s="2" t="n"/>
      <c r="L3" s="2" t="n"/>
    </row>
    <row r="5">
      <c r="B5" s="29" t="inlineStr">
        <is>
          <t>KEY PERFORMANCE INDICATORS</t>
        </is>
      </c>
      <c r="C5" s="29" t="n"/>
      <c r="D5" s="29" t="n"/>
      <c r="E5" s="29" t="n"/>
      <c r="F5" s="29" t="n"/>
    </row>
    <row r="6">
      <c r="B6" s="85" t="inlineStr">
        <is>
          <t>TOTAL EMPLOYEES</t>
        </is>
      </c>
      <c r="C6" s="86" t="inlineStr">
        <is>
          <t>ACTIVE STAFF</t>
        </is>
      </c>
      <c r="D6" s="87" t="inlineStr">
        <is>
          <t>INACTIVE</t>
        </is>
      </c>
      <c r="E6" s="88" t="inlineStr">
        <is>
          <t>ON LEAVE (apps)</t>
        </is>
      </c>
      <c r="F6" s="89" t="inlineStr">
        <is>
          <t>PENDING LEAVE</t>
        </is>
      </c>
    </row>
    <row r="7" ht="36" customHeight="1">
      <c r="B7" s="90">
        <f>COUNTA('02_Employee_Master'!A6:A45)</f>
        <v/>
      </c>
      <c r="C7" s="90">
        <f>COUNTIF('02_Employee_Master'!L6:L45,"Active")</f>
        <v/>
      </c>
      <c r="D7" s="90">
        <f>COUNTIF('02_Employee_Master'!L6:L45,"Inactive")</f>
        <v/>
      </c>
      <c r="E7" s="90">
        <f>COUNTIF('05_Leave'!H30:H79,"Approved")</f>
        <v/>
      </c>
      <c r="F7" s="90">
        <f>COUNTIF('05_Leave'!H30:H79,"Pending")</f>
        <v/>
      </c>
    </row>
    <row r="9">
      <c r="B9" s="29" t="inlineStr">
        <is>
          <t>ATTENDANCE SNAPSHOT — Day 15 of month (change formula day refs as needed)</t>
        </is>
      </c>
      <c r="C9" s="29" t="n"/>
      <c r="D9" s="29" t="n"/>
      <c r="E9" s="29" t="n"/>
      <c r="F9" s="29" t="n"/>
    </row>
    <row r="10">
      <c r="B10" s="7" t="inlineStr">
        <is>
          <t>Present</t>
        </is>
      </c>
      <c r="C10" s="7" t="inlineStr">
        <is>
          <t>Absent</t>
        </is>
      </c>
      <c r="D10" s="7" t="inlineStr">
        <is>
          <t>Late</t>
        </is>
      </c>
      <c r="E10" s="7" t="inlineStr">
        <is>
          <t>On Leave</t>
        </is>
      </c>
      <c r="F10" s="7" t="inlineStr">
        <is>
          <t>Att % (month avg)</t>
        </is>
      </c>
    </row>
    <row r="11" ht="32" customHeight="1">
      <c r="B11" s="91">
        <f>COUNTIF('04_Attendance'!S8:S27,"P")+COUNTIF('04_Attendance'!S8:S27,"L")+COUNTIF('04_Attendance'!S8:S27,"WFO")+COUNTIF('04_Attendance'!S8:S27,"OT")</f>
        <v/>
      </c>
      <c r="C11" s="91">
        <f>COUNTIF('04_Attendance'!S8:S27,"A")</f>
        <v/>
      </c>
      <c r="D11" s="91">
        <f>COUNTIF('04_Attendance'!S8:S27,"L")</f>
        <v/>
      </c>
      <c r="E11" s="91">
        <f>COUNTIF('04_Attendance'!S8:S27,"PL")+COUNTIF('04_Attendance'!S8:S27,"UL")+COUNTIF('04_Attendance'!S8:S27,"VL")+COUNTIF('04_Attendance'!S8:S27,"SL")</f>
        <v/>
      </c>
      <c r="F11" s="92">
        <f>IFERROR(AVERAGE('04_Attendance'!AQ8:AQ27),0)</f>
        <v/>
      </c>
    </row>
    <row r="13">
      <c r="B13" s="29" t="inlineStr">
        <is>
          <t>SHIFT-WISE HEADCOUNT — Roster Day 15</t>
        </is>
      </c>
      <c r="C13" s="29" t="n"/>
      <c r="D13" s="29" t="n"/>
      <c r="H13" s="29" t="inlineStr">
        <is>
          <t>DEPARTMENT-WISE ACTIVE HEADCOUNT</t>
        </is>
      </c>
      <c r="I13" s="29" t="n"/>
      <c r="J13" s="29" t="n"/>
      <c r="K13" s="29" t="n"/>
    </row>
    <row r="14">
      <c r="B14" s="7" t="inlineStr">
        <is>
          <t>Morning</t>
        </is>
      </c>
      <c r="C14" s="7" t="inlineStr">
        <is>
          <t>Evening</t>
        </is>
      </c>
      <c r="D14" s="7" t="inlineStr">
        <is>
          <t>Night</t>
        </is>
      </c>
      <c r="H14" s="7" t="inlineStr">
        <is>
          <t>Department</t>
        </is>
      </c>
      <c r="I14" s="7" t="inlineStr">
        <is>
          <t>Active</t>
        </is>
      </c>
      <c r="J14" s="7" t="inlineStr">
        <is>
          <t>Avg Att %</t>
        </is>
      </c>
      <c r="K14" s="7" t="inlineStr">
        <is>
          <t>On Leave (bal SL used)</t>
        </is>
      </c>
    </row>
    <row r="15">
      <c r="B15" s="93">
        <f>COUNTIF('03_Roster'!S8:S27,"M")</f>
        <v/>
      </c>
      <c r="C15" s="93">
        <f>COUNTIF('03_Roster'!S8:S27,"E")</f>
        <v/>
      </c>
      <c r="D15" s="93">
        <f>COUNTIF('03_Roster'!S8:S27,"N")</f>
        <v/>
      </c>
      <c r="H15" s="9" t="inlineStr">
        <is>
          <t>Hematology</t>
        </is>
      </c>
      <c r="I15" s="94">
        <f>COUNTIFS('02_Employee_Master'!$D$6:$D$45,H15,'02_Employee_Master'!$L$6:$L$45,"Active")</f>
        <v/>
      </c>
      <c r="J15" s="95">
        <f>IFERROR(AVERAGEIF('04_Attendance'!$C$8:$C$27,H15,'04_Attendance'!$AQ$8:$AQ$27),"")</f>
        <v/>
      </c>
      <c r="K15" s="94">
        <f>SUMIF('05_Leave'!$C$7:$C$26,H15,'05_Leave'!$K$7:$K$26)</f>
        <v/>
      </c>
    </row>
    <row r="16">
      <c r="H16" s="11" t="inlineStr">
        <is>
          <t>Biochemistry</t>
        </is>
      </c>
      <c r="I16" s="96">
        <f>COUNTIFS('02_Employee_Master'!$D$6:$D$45,H16,'02_Employee_Master'!$L$6:$L$45,"Active")</f>
        <v/>
      </c>
      <c r="J16" s="97">
        <f>IFERROR(AVERAGEIF('04_Attendance'!$C$8:$C$27,H16,'04_Attendance'!$AQ$8:$AQ$27),"")</f>
        <v/>
      </c>
      <c r="K16" s="96">
        <f>SUMIF('05_Leave'!$C$7:$C$26,H16,'05_Leave'!$K$7:$K$26)</f>
        <v/>
      </c>
    </row>
    <row r="17">
      <c r="B17" s="29" t="inlineStr">
        <is>
          <t>LEAVE SUMMARY (this period)</t>
        </is>
      </c>
      <c r="C17" s="29" t="n"/>
      <c r="D17" s="29" t="n"/>
      <c r="H17" s="9" t="inlineStr">
        <is>
          <t>Microbiology</t>
        </is>
      </c>
      <c r="I17" s="94">
        <f>COUNTIFS('02_Employee_Master'!$D$6:$D$45,H17,'02_Employee_Master'!$L$6:$L$45,"Active")</f>
        <v/>
      </c>
      <c r="J17" s="95">
        <f>IFERROR(AVERAGEIF('04_Attendance'!$C$8:$C$27,H17,'04_Attendance'!$AQ$8:$AQ$27),"")</f>
        <v/>
      </c>
      <c r="K17" s="94">
        <f>SUMIF('05_Leave'!$C$7:$C$26,H17,'05_Leave'!$K$7:$K$26)</f>
        <v/>
      </c>
    </row>
    <row r="18">
      <c r="B18" s="48" t="inlineStr">
        <is>
          <t>Approved applications</t>
        </is>
      </c>
      <c r="C18" s="49" t="n"/>
      <c r="D18" s="75">
        <f>COUNTIF('05_Leave'!H30:H79,"Approved")</f>
        <v/>
      </c>
      <c r="H18" s="11" t="inlineStr">
        <is>
          <t>Histopathology</t>
        </is>
      </c>
      <c r="I18" s="96">
        <f>COUNTIFS('02_Employee_Master'!$D$6:$D$45,H18,'02_Employee_Master'!$L$6:$L$45,"Active")</f>
        <v/>
      </c>
      <c r="J18" s="97">
        <f>IFERROR(AVERAGEIF('04_Attendance'!$C$8:$C$27,H18,'04_Attendance'!$AQ$8:$AQ$27),"")</f>
        <v/>
      </c>
      <c r="K18" s="96">
        <f>SUMIF('05_Leave'!$C$7:$C$26,H18,'05_Leave'!$K$7:$K$26)</f>
        <v/>
      </c>
    </row>
    <row r="19">
      <c r="B19" s="48" t="inlineStr">
        <is>
          <t>Pending approvals</t>
        </is>
      </c>
      <c r="C19" s="49" t="n"/>
      <c r="D19" s="75">
        <f>COUNTIF('05_Leave'!H30:H79,"Pending")</f>
        <v/>
      </c>
      <c r="H19" s="9" t="inlineStr">
        <is>
          <t>Phlebotomy</t>
        </is>
      </c>
      <c r="I19" s="94">
        <f>COUNTIFS('02_Employee_Master'!$D$6:$D$45,H19,'02_Employee_Master'!$L$6:$L$45,"Active")</f>
        <v/>
      </c>
      <c r="J19" s="95">
        <f>IFERROR(AVERAGEIF('04_Attendance'!$C$8:$C$27,H19,'04_Attendance'!$AQ$8:$AQ$27),"")</f>
        <v/>
      </c>
      <c r="K19" s="94">
        <f>SUMIF('05_Leave'!$C$7:$C$26,H19,'05_Leave'!$K$7:$K$26)</f>
        <v/>
      </c>
    </row>
    <row r="20">
      <c r="B20" s="48" t="inlineStr">
        <is>
          <t>Rejected</t>
        </is>
      </c>
      <c r="C20" s="49" t="n"/>
      <c r="D20" s="75">
        <f>COUNTIF('05_Leave'!H30:H79,"Rejected")</f>
        <v/>
      </c>
      <c r="H20" s="11" t="inlineStr">
        <is>
          <t>Sample Receiving</t>
        </is>
      </c>
      <c r="I20" s="96">
        <f>COUNTIFS('02_Employee_Master'!$D$6:$D$45,H20,'02_Employee_Master'!$L$6:$L$45,"Active")</f>
        <v/>
      </c>
      <c r="J20" s="97">
        <f>IFERROR(AVERAGEIF('04_Attendance'!$C$8:$C$27,H20,'04_Attendance'!$AQ$8:$AQ$27),"")</f>
        <v/>
      </c>
      <c r="K20" s="96">
        <f>SUMIF('05_Leave'!$C$7:$C$26,H20,'05_Leave'!$K$7:$K$26)</f>
        <v/>
      </c>
    </row>
    <row r="21">
      <c r="B21" s="48" t="inlineStr">
        <is>
          <t>Total leave days approved</t>
        </is>
      </c>
      <c r="C21" s="49" t="n"/>
      <c r="D21" s="75">
        <f>SUMIF('05_Leave'!H30:H79,"Approved",'05_Leave'!E30:E79)</f>
        <v/>
      </c>
      <c r="H21" s="9" t="inlineStr">
        <is>
          <t>Quality Assurance</t>
        </is>
      </c>
      <c r="I21" s="94">
        <f>COUNTIFS('02_Employee_Master'!$D$6:$D$45,H21,'02_Employee_Master'!$L$6:$L$45,"Active")</f>
        <v/>
      </c>
      <c r="J21" s="95">
        <f>IFERROR(AVERAGEIF('04_Attendance'!$C$8:$C$27,H21,'04_Attendance'!$AQ$8:$AQ$27),"")</f>
        <v/>
      </c>
      <c r="K21" s="94">
        <f>SUMIF('05_Leave'!$C$7:$C$26,H21,'05_Leave'!$K$7:$K$26)</f>
        <v/>
      </c>
    </row>
    <row r="22">
      <c r="H22" s="11" t="inlineStr">
        <is>
          <t>Administration</t>
        </is>
      </c>
      <c r="I22" s="96">
        <f>COUNTIFS('02_Employee_Master'!$D$6:$D$45,H22,'02_Employee_Master'!$L$6:$L$45,"Active")</f>
        <v/>
      </c>
      <c r="J22" s="97">
        <f>IFERROR(AVERAGEIF('04_Attendance'!$C$8:$C$27,H22,'04_Attendance'!$AQ$8:$AQ$27),"")</f>
        <v/>
      </c>
      <c r="K22" s="96">
        <f>SUMIF('05_Leave'!$C$7:$C$26,H22,'05_Leave'!$K$7:$K$26)</f>
        <v/>
      </c>
    </row>
    <row r="24">
      <c r="B24" s="29" t="inlineStr">
        <is>
          <t>MONTHLY ATTENDANCE TREND (Present headcount by day)</t>
        </is>
      </c>
      <c r="C24" s="29" t="n"/>
      <c r="D24" s="29" t="n"/>
      <c r="E24" s="29" t="n"/>
      <c r="F24" s="29" t="n"/>
    </row>
    <row r="25">
      <c r="B25" s="12" t="inlineStr">
        <is>
          <t>Day</t>
        </is>
      </c>
      <c r="C25" s="12" t="inlineStr">
        <is>
          <t>Present</t>
        </is>
      </c>
    </row>
    <row r="26">
      <c r="B26" s="33" t="n">
        <v>1</v>
      </c>
      <c r="C26" s="96">
        <f>'04_Attendance'!E28</f>
        <v/>
      </c>
    </row>
    <row r="27">
      <c r="B27" s="30" t="n">
        <v>2</v>
      </c>
      <c r="C27" s="94">
        <f>'04_Attendance'!F28</f>
        <v/>
      </c>
    </row>
    <row r="28">
      <c r="B28" s="33" t="n">
        <v>3</v>
      </c>
      <c r="C28" s="96">
        <f>'04_Attendance'!G28</f>
        <v/>
      </c>
    </row>
    <row r="29">
      <c r="B29" s="30" t="n">
        <v>4</v>
      </c>
      <c r="C29" s="94">
        <f>'04_Attendance'!H28</f>
        <v/>
      </c>
    </row>
    <row r="30">
      <c r="B30" s="33" t="n">
        <v>5</v>
      </c>
      <c r="C30" s="96">
        <f>'04_Attendance'!I28</f>
        <v/>
      </c>
    </row>
    <row r="31">
      <c r="B31" s="30" t="n">
        <v>6</v>
      </c>
      <c r="C31" s="94">
        <f>'04_Attendance'!J28</f>
        <v/>
      </c>
    </row>
    <row r="32">
      <c r="B32" s="33" t="n">
        <v>7</v>
      </c>
      <c r="C32" s="96">
        <f>'04_Attendance'!K28</f>
        <v/>
      </c>
    </row>
    <row r="33">
      <c r="B33" s="30" t="n">
        <v>8</v>
      </c>
      <c r="C33" s="94">
        <f>'04_Attendance'!L28</f>
        <v/>
      </c>
    </row>
    <row r="34">
      <c r="B34" s="33" t="n">
        <v>9</v>
      </c>
      <c r="C34" s="96">
        <f>'04_Attendance'!M28</f>
        <v/>
      </c>
    </row>
    <row r="35">
      <c r="B35" s="30" t="n">
        <v>10</v>
      </c>
      <c r="C35" s="94">
        <f>'04_Attendance'!N28</f>
        <v/>
      </c>
    </row>
    <row r="36">
      <c r="B36" s="33" t="n">
        <v>11</v>
      </c>
      <c r="C36" s="96">
        <f>'04_Attendance'!O28</f>
        <v/>
      </c>
    </row>
    <row r="37">
      <c r="B37" s="30" t="n">
        <v>12</v>
      </c>
      <c r="C37" s="94">
        <f>'04_Attendance'!P28</f>
        <v/>
      </c>
    </row>
    <row r="38">
      <c r="B38" s="33" t="n">
        <v>13</v>
      </c>
      <c r="C38" s="96">
        <f>'04_Attendance'!Q28</f>
        <v/>
      </c>
    </row>
    <row r="39">
      <c r="B39" s="30" t="n">
        <v>14</v>
      </c>
      <c r="C39" s="94">
        <f>'04_Attendance'!R28</f>
        <v/>
      </c>
    </row>
    <row r="40">
      <c r="B40" s="33" t="n">
        <v>15</v>
      </c>
      <c r="C40" s="96">
        <f>'04_Attendance'!S28</f>
        <v/>
      </c>
    </row>
    <row r="41">
      <c r="B41" s="30" t="n">
        <v>16</v>
      </c>
      <c r="C41" s="94">
        <f>'04_Attendance'!T28</f>
        <v/>
      </c>
    </row>
    <row r="42">
      <c r="B42" s="33" t="n">
        <v>17</v>
      </c>
      <c r="C42" s="96">
        <f>'04_Attendance'!U28</f>
        <v/>
      </c>
    </row>
    <row r="43">
      <c r="B43" s="30" t="n">
        <v>18</v>
      </c>
      <c r="C43" s="94">
        <f>'04_Attendance'!V28</f>
        <v/>
      </c>
    </row>
    <row r="44">
      <c r="B44" s="33" t="n">
        <v>19</v>
      </c>
      <c r="C44" s="96">
        <f>'04_Attendance'!W28</f>
        <v/>
      </c>
    </row>
    <row r="45">
      <c r="B45" s="30" t="n">
        <v>20</v>
      </c>
      <c r="C45" s="94">
        <f>'04_Attendance'!X28</f>
        <v/>
      </c>
    </row>
    <row r="46">
      <c r="B46" s="33" t="n">
        <v>21</v>
      </c>
      <c r="C46" s="96">
        <f>'04_Attendance'!Y28</f>
        <v/>
      </c>
    </row>
    <row r="47">
      <c r="B47" s="30" t="n">
        <v>22</v>
      </c>
      <c r="C47" s="94">
        <f>'04_Attendance'!Z28</f>
        <v/>
      </c>
    </row>
    <row r="48">
      <c r="B48" s="33" t="n">
        <v>23</v>
      </c>
      <c r="C48" s="96">
        <f>'04_Attendance'!AA28</f>
        <v/>
      </c>
    </row>
    <row r="49">
      <c r="B49" s="30" t="n">
        <v>24</v>
      </c>
      <c r="C49" s="94">
        <f>'04_Attendance'!AB28</f>
        <v/>
      </c>
    </row>
    <row r="50">
      <c r="B50" s="33" t="n">
        <v>25</v>
      </c>
      <c r="C50" s="96">
        <f>'04_Attendance'!AC28</f>
        <v/>
      </c>
    </row>
    <row r="51">
      <c r="B51" s="30" t="n">
        <v>26</v>
      </c>
      <c r="C51" s="94">
        <f>'04_Attendance'!AD28</f>
        <v/>
      </c>
    </row>
    <row r="52">
      <c r="B52" s="33" t="n">
        <v>27</v>
      </c>
      <c r="C52" s="96">
        <f>'04_Attendance'!AE28</f>
        <v/>
      </c>
    </row>
    <row r="53">
      <c r="B53" s="30" t="n">
        <v>28</v>
      </c>
      <c r="C53" s="94">
        <f>'04_Attendance'!AF28</f>
        <v/>
      </c>
    </row>
    <row r="54">
      <c r="B54" s="33" t="n">
        <v>29</v>
      </c>
      <c r="C54" s="96">
        <f>'04_Attendance'!AG28</f>
        <v/>
      </c>
    </row>
    <row r="55">
      <c r="B55" s="30" t="n">
        <v>30</v>
      </c>
      <c r="C55" s="94">
        <f>'04_Attendance'!AH28</f>
        <v/>
      </c>
    </row>
    <row r="56">
      <c r="B56" s="33" t="n">
        <v>31</v>
      </c>
      <c r="C56" s="96">
        <f>'04_Attendance'!AI28</f>
        <v/>
      </c>
    </row>
    <row r="58">
      <c r="B58" s="98" t="inlineStr">
        <is>
          <t>Manager tip: To change month — set Roster B5/D5, clear old roster &amp; attendance marks, then re-enter. Dashboard KPIs/charts recalculate automatically. Snapshot formulas currently reference Day 15; change the column letter for another day. See 00_Home for the full month-change checklist. Print this sheet in landscape for monthly review.</t>
        </is>
      </c>
    </row>
    <row r="59"/>
    <row r="60"/>
  </sheetData>
  <mergeCells count="14">
    <mergeCell ref="A2:L2"/>
    <mergeCell ref="B21:C21"/>
    <mergeCell ref="H13:K13"/>
    <mergeCell ref="B24:F24"/>
    <mergeCell ref="B19:C19"/>
    <mergeCell ref="B20:C20"/>
    <mergeCell ref="A1:L1"/>
    <mergeCell ref="B5:F5"/>
    <mergeCell ref="B17:D17"/>
    <mergeCell ref="B13:D13"/>
    <mergeCell ref="B58:F60"/>
    <mergeCell ref="B18:C18"/>
    <mergeCell ref="A3:L3"/>
    <mergeCell ref="B9:F9"/>
  </mergeCells>
  <pageMargins left="0.4" right="0.4" top="0.5" bottom="0.5" header="0.2" footer="0.2"/>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2026-09-20T14:55:24Z</dcterms:created>
  <dcterms:modified xmlns:dcterms="http://purl.org/dc/terms/" xmlns:xsi="http://www.w3.org/2001/XMLSchema-instance" xsi:type="dcterms:W3CDTF">2026-09-20T14:55:24Z</dcterms:modified>
</cp:coreProperties>
</file>