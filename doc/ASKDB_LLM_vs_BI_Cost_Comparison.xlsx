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pgemini-my.sharepoint.com/personal/rahul_dasharath-kondhalkar_capgemini_com/Documents/Desktop/RK_GIT/ai_data_v2/doc/"/>
    </mc:Choice>
  </mc:AlternateContent>
  <xr:revisionPtr revIDLastSave="38" documentId="11_54570B440527C302892EED9457361C05972B9303" xr6:coauthVersionLast="47" xr6:coauthVersionMax="47" xr10:uidLastSave="{916B9090-39C1-42B0-9F5F-FBC9352AFE9F}"/>
  <bookViews>
    <workbookView xWindow="-110" yWindow="-110" windowWidth="19420" windowHeight="11500" activeTab="1" xr2:uid="{00000000-000D-0000-FFFF-FFFF00000000}"/>
  </bookViews>
  <sheets>
    <sheet name="Assumptions" sheetId="2" r:id="rId1"/>
    <sheet name="Executive_Summary" sheetId="1" r:id="rId2"/>
    <sheet name="LLM_Unit_Economics" sheetId="3" r:id="rId3"/>
    <sheet name="Monthly_Volume_Cost" sheetId="4" r:id="rId4"/>
    <sheet name="BI_Warehouse_Compar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B19" i="1"/>
  <c r="B10" i="5"/>
  <c r="B9" i="5"/>
  <c r="B8" i="5"/>
  <c r="B7" i="5"/>
  <c r="B6" i="5"/>
  <c r="B25" i="4"/>
  <c r="C25" i="4" s="1"/>
  <c r="D25" i="4" s="1"/>
  <c r="B24" i="4"/>
  <c r="C24" i="4" s="1"/>
  <c r="D24" i="4" s="1"/>
  <c r="B23" i="4"/>
  <c r="C23" i="4" s="1"/>
  <c r="D23" i="4" s="1"/>
  <c r="B22" i="4"/>
  <c r="C22" i="4" s="1"/>
  <c r="D22" i="4" s="1"/>
  <c r="B5" i="4"/>
  <c r="C7" i="3"/>
  <c r="H7" i="3" s="1"/>
  <c r="C6" i="3"/>
  <c r="H6" i="3" s="1"/>
  <c r="C5" i="3"/>
  <c r="H5" i="3" s="1"/>
  <c r="B11" i="2"/>
  <c r="B17" i="2" s="1"/>
  <c r="B8" i="2"/>
  <c r="B6" i="1" s="1"/>
  <c r="C15" i="1"/>
  <c r="C14" i="1"/>
  <c r="C13" i="1"/>
  <c r="B5" i="1"/>
  <c r="B11" i="5" l="1"/>
  <c r="B12" i="5" s="1"/>
  <c r="C22" i="5" s="1"/>
  <c r="D6" i="3"/>
  <c r="E6" i="3" s="1"/>
  <c r="F14" i="1" s="1"/>
  <c r="F6" i="3"/>
  <c r="G6" i="3"/>
  <c r="D5" i="3"/>
  <c r="F5" i="3" s="1"/>
  <c r="E5" i="3"/>
  <c r="F13" i="1" s="1"/>
  <c r="I7" i="3"/>
  <c r="I6" i="3"/>
  <c r="I5" i="3"/>
  <c r="B9" i="1"/>
  <c r="B22" i="5"/>
  <c r="C8" i="4"/>
  <c r="D7" i="3"/>
  <c r="E7" i="3" s="1"/>
  <c r="F15" i="1" s="1"/>
  <c r="B9" i="4"/>
  <c r="G5" i="3"/>
  <c r="C9" i="4"/>
  <c r="B13" i="4"/>
  <c r="G7" i="3"/>
  <c r="D9" i="4"/>
  <c r="C10" i="4"/>
  <c r="B10" i="4"/>
  <c r="B8" i="4"/>
  <c r="D10" i="4"/>
  <c r="D8" i="4"/>
  <c r="F8" i="4" s="1"/>
  <c r="D15" i="1" l="1"/>
  <c r="B21" i="1" s="1"/>
  <c r="E10" i="4"/>
  <c r="B18" i="5"/>
  <c r="B25" i="5" s="1"/>
  <c r="B33" i="4"/>
  <c r="D14" i="1"/>
  <c r="B22" i="1" s="1"/>
  <c r="B32" i="4"/>
  <c r="E9" i="4"/>
  <c r="B17" i="5"/>
  <c r="B24" i="5" s="1"/>
  <c r="D22" i="5"/>
  <c r="B29" i="5"/>
  <c r="B18" i="4"/>
  <c r="C17" i="4"/>
  <c r="B17" i="4"/>
  <c r="C18" i="4"/>
  <c r="D17" i="4"/>
  <c r="E17" i="4" s="1"/>
  <c r="D16" i="4"/>
  <c r="E16" i="4" s="1"/>
  <c r="C16" i="4"/>
  <c r="D18" i="4"/>
  <c r="E18" i="4" s="1"/>
  <c r="B16" i="4"/>
  <c r="F7" i="3"/>
  <c r="F9" i="4"/>
  <c r="B31" i="4"/>
  <c r="D13" i="1"/>
  <c r="B16" i="5"/>
  <c r="B23" i="5" s="1"/>
  <c r="E8" i="4"/>
  <c r="F10" i="4"/>
  <c r="B31" i="5" l="1"/>
  <c r="D24" i="5"/>
  <c r="F18" i="4"/>
  <c r="E14" i="1"/>
  <c r="C22" i="1" s="1"/>
  <c r="C17" i="5"/>
  <c r="C24" i="5" s="1"/>
  <c r="E13" i="1"/>
  <c r="C16" i="5"/>
  <c r="C23" i="5" s="1"/>
  <c r="F17" i="4"/>
  <c r="B30" i="5"/>
  <c r="D23" i="5"/>
  <c r="F16" i="4"/>
  <c r="B32" i="5"/>
  <c r="D25" i="5"/>
  <c r="C18" i="5"/>
  <c r="C25" i="5" s="1"/>
  <c r="E15" i="1"/>
  <c r="C21" i="1" s="1"/>
</calcChain>
</file>

<file path=xl/sharedStrings.xml><?xml version="1.0" encoding="utf-8"?>
<sst xmlns="http://schemas.openxmlformats.org/spreadsheetml/2006/main" count="180" uniqueCount="142">
  <si>
    <t>ASK-DB cost showcase — Executive summary</t>
  </si>
  <si>
    <t>Indicative Capgemini Studio GPT rates · token model from ASK-DB (2,500 no-narr / 6,000 with-narr). Edit yellow cells on Assumptions — this page updates automatically.</t>
  </si>
  <si>
    <t>Key volume inputs</t>
  </si>
  <si>
    <t>Showcase questions / month</t>
  </si>
  <si>
    <t>Derived questions / month (active × Q)</t>
  </si>
  <si>
    <t>Blended tokens / question</t>
  </si>
  <si>
    <t>LLM monthly cost @ showcase volume (blended)</t>
  </si>
  <si>
    <t>Tier</t>
  </si>
  <si>
    <t>Model</t>
  </si>
  <si>
    <t>$/1M tokens</t>
  </si>
  <si>
    <t>Monthly blended</t>
  </si>
  <si>
    <t>Annual blended</t>
  </si>
  <si>
    <t>Q per $1 (no narr)</t>
  </si>
  <si>
    <t>Small</t>
  </si>
  <si>
    <t>GPT-5 nano</t>
  </si>
  <si>
    <t>Medium</t>
  </si>
  <si>
    <t>GPT-5 mini</t>
  </si>
  <si>
    <t>High</t>
  </si>
  <si>
    <t>GPT-5.1</t>
  </si>
  <si>
    <t>Vs classic BI + warehouse (indicative)</t>
  </si>
  <si>
    <t>Path</t>
  </si>
  <si>
    <t>Monthly</t>
  </si>
  <si>
    <t>Annual</t>
  </si>
  <si>
    <t>Classic BI + Snowflake stack</t>
  </si>
  <si>
    <t>ASK-DB High blended (showcase)</t>
  </si>
  <si>
    <t>ASK-DB Medium blended (showcase)</t>
  </si>
  <si>
    <t>1. SQL-first Chat (no LLM narration) uses ~2,500 tokens/Q — default Insights/Table/Chart path.</t>
  </si>
  <si>
    <t>2. Narration chip is opt-in; at High tier + 30k Q, 100% narration ≈ $1,800/mo vs ~$750 at 0% narration.</t>
  </si>
  <si>
    <t>3. $1 buys 1M tokens only at $1/1M pricing; nano ($0.20) → 5M tokens/$1; GPT-5.1 ($10) → 100k tokens/$1.</t>
  </si>
  <si>
    <t>4. Classic BI cost is mostly fixed seats + warehouse; ASK-DB LLM is usage-based on existing Postgres.</t>
  </si>
  <si>
    <t>5. Replace yellow BI/Snowflake placeholders with your enterprise quotes before final business case.</t>
  </si>
  <si>
    <t>6. Rates are Capgemini Studio INDICATIVE — confirm against current gateway pricing.</t>
  </si>
  <si>
    <t>ASK-DB · LLM vs BI cost comparison — Assumptions</t>
  </si>
  <si>
    <t>Yellow cells are editable inputs. All other sheets use formulas. Capgemini Studio rates are INDICATIVE for showcase — not contractual invoices. Power BI / Snowflake figures are market placeholders — replace with your quotes.</t>
  </si>
  <si>
    <t>Volume scenario</t>
  </si>
  <si>
    <t>Org seats</t>
  </si>
  <si>
    <t>Active users / month</t>
  </si>
  <si>
    <t>Who actually ask</t>
  </si>
  <si>
    <t>Questions / active user / month</t>
  </si>
  <si>
    <t>Planning figure</t>
  </si>
  <si>
    <t>Derived monthly questions (active × Q)</t>
  </si>
  <si>
    <t>Secondary scenario (45×100 = 4,500)</t>
  </si>
  <si>
    <t>Showcase monthly questions</t>
  </si>
  <si>
    <t>Primary slide volume</t>
  </si>
  <si>
    <t>% questions with narration</t>
  </si>
  <si>
    <t>LLM narration path</t>
  </si>
  <si>
    <t>% questions without narration</t>
  </si>
  <si>
    <t>Months / year</t>
  </si>
  <si>
    <t>Token assumptions (from config/llm_catalog.py)</t>
  </si>
  <si>
    <t>Tokens / question (no narration)</t>
  </si>
  <si>
    <t>SQL NLQ path</t>
  </si>
  <si>
    <t>Tokens / question (with narration)</t>
  </si>
  <si>
    <t>SQL + LLM narration</t>
  </si>
  <si>
    <t>Weighted by narration mix</t>
  </si>
  <si>
    <t>Small — GPT-5 nano ($/1M)</t>
  </si>
  <si>
    <t>openai.gpt-5-nano</t>
  </si>
  <si>
    <t>Medium — GPT-5 mini ($/1M)</t>
  </si>
  <si>
    <t>openai.gpt-5-mini</t>
  </si>
  <si>
    <t>High — GPT-5.1 ($/1M)</t>
  </si>
  <si>
    <t>openai.gpt-5.1</t>
  </si>
  <si>
    <t>Classic BI / warehouse placeholders (replace with quotes)</t>
  </si>
  <si>
    <t>Power BI Pro $/user/month</t>
  </si>
  <si>
    <t>Self-serve viz seat</t>
  </si>
  <si>
    <t>Power BI Premium capacity $/month</t>
  </si>
  <si>
    <t>Optional shared capacity</t>
  </si>
  <si>
    <t>Use Premium instead of Pro? (1=yes,0=no)</t>
  </si>
  <si>
    <t>0 = Pro×users; 1 = Premium only</t>
  </si>
  <si>
    <t>Named ranges (cell map)</t>
  </si>
  <si>
    <t>B5 NamedUsers  B6 ActiveUsers  B7 QPerUser  B8 DerivedQ  B9 ShowcaseQ</t>
  </si>
  <si>
    <t>B10 PctNarr  B11 PctNoNarr  B12 Months  B15 TokNoNarr  B16 TokNarr  B17 TokBlend</t>
  </si>
  <si>
    <t>B20 RateSmall  B21 RateMed  B22 RateHigh</t>
  </si>
  <si>
    <t>B25–B30 BI/Snowflake placeholders</t>
  </si>
  <si>
    <t>Note: $1 = 1M tokens ONLY when rate = $1.00/1M. At nano $0.20, $1 buys 5M tokens; at GPT-5.1 $10, $1 buys 100k tokens.</t>
  </si>
  <si>
    <t>LLM unit economics by GPT tier</t>
  </si>
  <si>
    <t>Formulas reference Assumptions. Cost/Q = tokens × ($/1M) / 1,000,000</t>
  </si>
  <si>
    <t>USD / 1M tokens</t>
  </si>
  <si>
    <t>Tokens per $1</t>
  </si>
  <si>
    <t>Questions per $1 (no narr)</t>
  </si>
  <si>
    <t>Questions per $1 (with narr)</t>
  </si>
  <si>
    <t>Cost / Q (no narr)</t>
  </si>
  <si>
    <t>Cost / Q (with narr)</t>
  </si>
  <si>
    <t>Cost / Q (blended)</t>
  </si>
  <si>
    <t>How to read</t>
  </si>
  <si>
    <t>Questions per $1 (no narr) ≈ how many SQL-only Chat answers $1 buys at that tier. Blended uses Assumptions narration mix. Prefer Insights/Table/Chart (no LLM narration) to stay near the no-narration column.</t>
  </si>
  <si>
    <t>Monthly &amp; annual LLM cost by volume scenario</t>
  </si>
  <si>
    <t>Primary showcase = Assumptions!B9 (default 30,000). Secondary = derived active×Q (Assumptions!B8).</t>
  </si>
  <si>
    <t>Scenario A — Showcase volume (primary)</t>
  </si>
  <si>
    <t>Monthly questions</t>
  </si>
  <si>
    <t>Monthly 100% no-narr</t>
  </si>
  <si>
    <t>Monthly 100% with-narr</t>
  </si>
  <si>
    <t>Cost / answered Q (blended)</t>
  </si>
  <si>
    <t>Scenario B — Derived volume (45 × 100)</t>
  </si>
  <si>
    <t>Sensitivity — High tier @ showcase volume (narration mix)</t>
  </si>
  <si>
    <t>Narration %</t>
  </si>
  <si>
    <t>Blended tokens/Q</t>
  </si>
  <si>
    <t>Monthly LLM cost</t>
  </si>
  <si>
    <t>Annual LLM cost</t>
  </si>
  <si>
    <t>Talking point: at High tier and 30k Q/month, 0% narration ≈ $750/mo; 100% narration ≈ $1,800/mo. Product default (Insights without LLM narration) stays near the low end.</t>
  </si>
  <si>
    <t>Chart data — Showcase blended monthly by tier</t>
  </si>
  <si>
    <t>Monthly blended $</t>
  </si>
  <si>
    <t>Indicative classic BI / warehouse vs ASK-DB LLM path</t>
  </si>
  <si>
    <t>Not 1:1 feature parity. Classic path = license + warehouse + dashboard effort. ASK-DB path = existing Postgres + usage-based LLM (SQL-first; narration optional). Replace yellow BI/Snowflake placeholders with your quotes.</t>
  </si>
  <si>
    <t>Classic BI + warehouse stack (monthly)</t>
  </si>
  <si>
    <t>Line item</t>
  </si>
  <si>
    <t>Monthly USD</t>
  </si>
  <si>
    <t>Notes</t>
  </si>
  <si>
    <t>Power BI Pro (users × $/user)</t>
  </si>
  <si>
    <t>If Premium flag=1, Pro line is $0</t>
  </si>
  <si>
    <t>Power BI Premium capacity</t>
  </si>
  <si>
    <t>Used when Premium flag=1</t>
  </si>
  <si>
    <t>Snowflake compute</t>
  </si>
  <si>
    <t>Indicative credits</t>
  </si>
  <si>
    <t>Snowflake storage</t>
  </si>
  <si>
    <t>Dashboard build / maintenance (amortized)</t>
  </si>
  <si>
    <t>Classic path TOTAL (monthly)</t>
  </si>
  <si>
    <t>Classic path TOTAL (annual)</t>
  </si>
  <si>
    <t>ASK-DB LLM path (monthly) — showcase volume blended</t>
  </si>
  <si>
    <t>LLM monthly (blended @ showcase Q)</t>
  </si>
  <si>
    <t>On existing Postgres — no Snowflake line assumed</t>
  </si>
  <si>
    <t>Side-by-side monthly (showcase)</t>
  </si>
  <si>
    <t>Annual USD</t>
  </si>
  <si>
    <t>Cost / Q (vs showcase Q)</t>
  </si>
  <si>
    <t>ASK-DB LLM — Small blended</t>
  </si>
  <si>
    <t>ASK-DB LLM — Medium blended</t>
  </si>
  <si>
    <t>ASK-DB LLM — High blended</t>
  </si>
  <si>
    <t>Chart data</t>
  </si>
  <si>
    <t>Monthly $</t>
  </si>
  <si>
    <t>Classic BI+DW</t>
  </si>
  <si>
    <t>ASK-DB Small</t>
  </si>
  <si>
    <t>ASK-DB Medium</t>
  </si>
  <si>
    <t>ASK-DB High</t>
  </si>
  <si>
    <t>Caveat: Classic stack often still needs a data platform you already pay for; ASK-DB LLM is incremental usage on top of Postgres. If Snowflake is mandatory for other workloads, add it to both sides or keep it as shared corporate cost.</t>
  </si>
  <si>
    <t xml:space="preserve">With Narration </t>
  </si>
  <si>
    <t>W/O Narration</t>
  </si>
  <si>
    <t xml:space="preserve">Points </t>
  </si>
  <si>
    <t xml:space="preserve">Classic BI </t>
  </si>
  <si>
    <t>PBI Pro $14*50=$700</t>
  </si>
  <si>
    <t>Power BI + Copilot</t>
  </si>
  <si>
    <t>~$5000</t>
  </si>
  <si>
    <t>~$60K</t>
  </si>
  <si>
    <t>No of users</t>
  </si>
  <si>
    <t>GPT tier rates — USD per 1Million tokens (indicative Studio)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</si>
</sst>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"/>
    <numFmt numFmtId="165" formatCode="&quot;$&quot;#,##0.00"/>
  </numFmts>
  <fonts count="8" x14ac:knownFonts="1">
    <font>
      <sz val="11"/>
      <color theme="1"/>
      <name val="Calibri"/>
      <family val="2"/>
      <scheme val="minor"/>
    </font>
    <font>
      <b/>
      <sz val="14"/>
      <color rgb="FF1F4E79"/>
      <name val="Calibri"/>
    </font>
    <font>
      <b/>
      <sz val="12"/>
      <color rgb="FF1F4E79"/>
      <name val="Calibri"/>
    </font>
    <font>
      <sz val="10"/>
      <name val="Calibri"/>
    </font>
    <font>
      <i/>
      <sz val="9"/>
      <color rgb="FF666666"/>
      <name val="Calibri"/>
    </font>
    <font>
      <sz val="9"/>
      <color rgb="FF555555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4" fillId="0" borderId="0" xfId="0" applyFont="1"/>
    <xf numFmtId="0" fontId="2" fillId="0" borderId="0" xfId="0" applyFont="1"/>
    <xf numFmtId="3" fontId="0" fillId="0" borderId="0" xfId="0" applyNumberFormat="1"/>
    <xf numFmtId="4" fontId="0" fillId="0" borderId="0" xfId="0" applyNumberFormat="1"/>
    <xf numFmtId="0" fontId="6" fillId="3" borderId="1" xfId="0" applyFont="1" applyFill="1" applyBorder="1" applyAlignment="1">
      <alignment vertical="center" wrapText="1"/>
    </xf>
    <xf numFmtId="0" fontId="0" fillId="0" borderId="1" xfId="0" applyBorder="1"/>
    <xf numFmtId="4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3" fillId="0" borderId="0" xfId="0" applyFont="1"/>
    <xf numFmtId="3" fontId="0" fillId="2" borderId="1" xfId="0" applyNumberFormat="1" applyFill="1" applyBorder="1"/>
    <xf numFmtId="9" fontId="0" fillId="2" borderId="1" xfId="0" applyNumberFormat="1" applyFill="1" applyBorder="1"/>
    <xf numFmtId="9" fontId="0" fillId="0" borderId="0" xfId="0" applyNumberFormat="1"/>
    <xf numFmtId="4" fontId="0" fillId="2" borderId="1" xfId="0" applyNumberFormat="1" applyFill="1" applyBorder="1"/>
    <xf numFmtId="0" fontId="5" fillId="0" borderId="0" xfId="0" applyFont="1"/>
    <xf numFmtId="164" fontId="0" fillId="0" borderId="1" xfId="0" applyNumberFormat="1" applyBorder="1"/>
    <xf numFmtId="3" fontId="0" fillId="2" borderId="0" xfId="0" applyNumberFormat="1" applyFill="1"/>
    <xf numFmtId="165" fontId="0" fillId="0" borderId="0" xfId="0" applyNumberFormat="1"/>
    <xf numFmtId="0" fontId="7" fillId="0" borderId="1" xfId="0" applyFont="1" applyBorder="1"/>
    <xf numFmtId="165" fontId="7" fillId="0" borderId="1" xfId="0" applyNumberFormat="1" applyFont="1" applyBorder="1"/>
    <xf numFmtId="0" fontId="0" fillId="0" borderId="0" xfId="0"/>
    <xf numFmtId="0" fontId="4" fillId="0" borderId="0" xfId="0" applyFont="1"/>
    <xf numFmtId="0" fontId="1" fillId="0" borderId="0" xfId="0" applyFont="1"/>
    <xf numFmtId="0" fontId="0" fillId="0" borderId="0" xfId="0" applyAlignment="1">
      <alignment wrapText="1"/>
    </xf>
    <xf numFmtId="165" fontId="0" fillId="0" borderId="1" xfId="0" applyNumberFormat="1" applyBorder="1" applyAlignment="1">
      <alignment horizontal="right"/>
    </xf>
    <xf numFmtId="0" fontId="0" fillId="4" borderId="1" xfId="0" applyFill="1" applyBorder="1"/>
    <xf numFmtId="165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cost: Classic BI+DW vs ASK-DB LLM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BI_Warehouse_Compare!$B$28</c:f>
              <c:strCache>
                <c:ptCount val="1"/>
                <c:pt idx="0">
                  <c:v>Monthly $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BI_Warehouse_Compare!$A$29:$A$32</c:f>
              <c:strCache>
                <c:ptCount val="4"/>
                <c:pt idx="0">
                  <c:v>Classic BI+DW</c:v>
                </c:pt>
                <c:pt idx="1">
                  <c:v>ASK-DB Small</c:v>
                </c:pt>
                <c:pt idx="2">
                  <c:v>ASK-DB Medium</c:v>
                </c:pt>
                <c:pt idx="3">
                  <c:v>ASK-DB High</c:v>
                </c:pt>
              </c:strCache>
            </c:strRef>
          </c:cat>
          <c:val>
            <c:numRef>
              <c:f>BI_Warehouse_Compare!$B$29:$B$32</c:f>
              <c:numCache>
                <c:formatCode>"$"#,##0.00</c:formatCode>
                <c:ptCount val="4"/>
                <c:pt idx="0">
                  <c:v>0</c:v>
                </c:pt>
                <c:pt idx="1">
                  <c:v>19.2</c:v>
                </c:pt>
                <c:pt idx="2">
                  <c:v>76.8</c:v>
                </c:pt>
                <c:pt idx="3">
                  <c:v>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F-45BF-8123-ECBCFE3D2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USD / month</a:t>
                </a:r>
              </a:p>
            </c:rich>
          </c:tx>
          <c:overlay val="1"/>
        </c:title>
        <c:numFmt formatCode="&quot;$&quot;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19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"/>
  <sheetViews>
    <sheetView workbookViewId="0">
      <selection activeCell="A4" sqref="A4"/>
    </sheetView>
  </sheetViews>
  <sheetFormatPr defaultRowHeight="14.5" x14ac:dyDescent="0.35"/>
  <cols>
    <col min="1" max="1" width="56.26953125" customWidth="1"/>
    <col min="2" max="2" width="36.81640625" customWidth="1"/>
    <col min="3" max="3" width="42" customWidth="1"/>
    <col min="4" max="4" width="20" customWidth="1"/>
  </cols>
  <sheetData>
    <row r="1" spans="1:4" ht="18.5" x14ac:dyDescent="0.45">
      <c r="A1" s="24" t="s">
        <v>32</v>
      </c>
      <c r="B1" s="22"/>
      <c r="C1" s="22"/>
      <c r="D1" s="22"/>
    </row>
    <row r="2" spans="1:4" ht="48" customHeight="1" x14ac:dyDescent="0.35">
      <c r="A2" s="25" t="s">
        <v>33</v>
      </c>
      <c r="B2" s="22"/>
      <c r="C2" s="22"/>
      <c r="D2" s="22"/>
    </row>
    <row r="4" spans="1:4" ht="15.5" x14ac:dyDescent="0.35">
      <c r="A4" s="3" t="s">
        <v>34</v>
      </c>
    </row>
    <row r="5" spans="1:4" x14ac:dyDescent="0.35">
      <c r="A5" s="11" t="s">
        <v>140</v>
      </c>
      <c r="B5" s="12">
        <v>50</v>
      </c>
      <c r="C5" s="2" t="s">
        <v>35</v>
      </c>
    </row>
    <row r="6" spans="1:4" x14ac:dyDescent="0.35">
      <c r="A6" s="11" t="s">
        <v>36</v>
      </c>
      <c r="B6" s="12">
        <v>45</v>
      </c>
      <c r="C6" s="2" t="s">
        <v>37</v>
      </c>
    </row>
    <row r="7" spans="1:4" x14ac:dyDescent="0.35">
      <c r="A7" s="11" t="s">
        <v>38</v>
      </c>
      <c r="B7" s="12">
        <v>100</v>
      </c>
      <c r="C7" s="2" t="s">
        <v>39</v>
      </c>
    </row>
    <row r="8" spans="1:4" x14ac:dyDescent="0.35">
      <c r="A8" t="s">
        <v>40</v>
      </c>
      <c r="B8" s="4">
        <f>B6*B7</f>
        <v>4500</v>
      </c>
      <c r="C8" s="2" t="s">
        <v>41</v>
      </c>
    </row>
    <row r="9" spans="1:4" x14ac:dyDescent="0.35">
      <c r="A9" s="11" t="s">
        <v>42</v>
      </c>
      <c r="B9" s="12">
        <v>30000</v>
      </c>
      <c r="C9" s="2" t="s">
        <v>43</v>
      </c>
    </row>
    <row r="10" spans="1:4" x14ac:dyDescent="0.35">
      <c r="A10" s="11" t="s">
        <v>44</v>
      </c>
      <c r="B10" s="13">
        <v>0.2</v>
      </c>
      <c r="C10" s="2" t="s">
        <v>45</v>
      </c>
    </row>
    <row r="11" spans="1:4" x14ac:dyDescent="0.35">
      <c r="A11" t="s">
        <v>46</v>
      </c>
      <c r="B11" s="14">
        <f>1-B10</f>
        <v>0.8</v>
      </c>
    </row>
    <row r="12" spans="1:4" x14ac:dyDescent="0.35">
      <c r="A12" s="11" t="s">
        <v>47</v>
      </c>
      <c r="B12" s="12">
        <v>12</v>
      </c>
    </row>
    <row r="14" spans="1:4" ht="15.5" x14ac:dyDescent="0.35">
      <c r="A14" s="3" t="s">
        <v>48</v>
      </c>
    </row>
    <row r="15" spans="1:4" x14ac:dyDescent="0.35">
      <c r="A15" s="11" t="s">
        <v>49</v>
      </c>
      <c r="B15" s="12">
        <v>2500</v>
      </c>
      <c r="C15" s="2" t="s">
        <v>50</v>
      </c>
    </row>
    <row r="16" spans="1:4" x14ac:dyDescent="0.35">
      <c r="A16" s="11" t="s">
        <v>51</v>
      </c>
      <c r="B16" s="12">
        <v>6000</v>
      </c>
      <c r="C16" s="2" t="s">
        <v>52</v>
      </c>
    </row>
    <row r="17" spans="1:3" x14ac:dyDescent="0.35">
      <c r="A17" t="s">
        <v>5</v>
      </c>
      <c r="B17" s="5">
        <f>B11*B15+B10*B16</f>
        <v>3200</v>
      </c>
      <c r="C17" t="s">
        <v>53</v>
      </c>
    </row>
    <row r="19" spans="1:3" ht="15.5" x14ac:dyDescent="0.35">
      <c r="A19" s="3" t="s">
        <v>141</v>
      </c>
    </row>
    <row r="20" spans="1:3" x14ac:dyDescent="0.35">
      <c r="A20" s="11" t="s">
        <v>54</v>
      </c>
      <c r="B20" s="15">
        <v>0.2</v>
      </c>
      <c r="C20" s="2" t="s">
        <v>55</v>
      </c>
    </row>
    <row r="21" spans="1:3" x14ac:dyDescent="0.35">
      <c r="A21" s="11" t="s">
        <v>56</v>
      </c>
      <c r="B21" s="15">
        <v>0.8</v>
      </c>
      <c r="C21" s="2" t="s">
        <v>57</v>
      </c>
    </row>
    <row r="22" spans="1:3" x14ac:dyDescent="0.35">
      <c r="A22" s="11" t="s">
        <v>58</v>
      </c>
      <c r="B22" s="15">
        <v>10</v>
      </c>
      <c r="C22" s="2" t="s">
        <v>59</v>
      </c>
    </row>
    <row r="24" spans="1:3" ht="15.5" x14ac:dyDescent="0.35">
      <c r="A24" s="3" t="s">
        <v>60</v>
      </c>
    </row>
    <row r="25" spans="1:3" x14ac:dyDescent="0.35">
      <c r="A25" s="11" t="s">
        <v>61</v>
      </c>
      <c r="B25" s="15">
        <v>14</v>
      </c>
      <c r="C25" s="2" t="s">
        <v>62</v>
      </c>
    </row>
    <row r="26" spans="1:3" x14ac:dyDescent="0.35">
      <c r="A26" s="11" t="s">
        <v>63</v>
      </c>
      <c r="B26" s="15">
        <v>5000</v>
      </c>
      <c r="C26" s="2" t="s">
        <v>64</v>
      </c>
    </row>
    <row r="27" spans="1:3" x14ac:dyDescent="0.35">
      <c r="A27" s="11" t="s">
        <v>65</v>
      </c>
      <c r="B27" s="12">
        <v>0</v>
      </c>
      <c r="C27" s="2" t="s">
        <v>66</v>
      </c>
    </row>
    <row r="28" spans="1:3" x14ac:dyDescent="0.35">
      <c r="A28" s="11"/>
      <c r="B28" s="11"/>
      <c r="C28" s="11"/>
    </row>
    <row r="29" spans="1:3" x14ac:dyDescent="0.35">
      <c r="A29" s="11"/>
      <c r="B29" s="11"/>
      <c r="C29" s="11"/>
    </row>
    <row r="30" spans="1:3" ht="15.5" x14ac:dyDescent="0.35">
      <c r="A30" s="3" t="s">
        <v>67</v>
      </c>
    </row>
    <row r="31" spans="1:3" x14ac:dyDescent="0.35">
      <c r="A31" s="16" t="s">
        <v>68</v>
      </c>
    </row>
    <row r="32" spans="1:3" x14ac:dyDescent="0.35">
      <c r="A32" s="16" t="s">
        <v>69</v>
      </c>
    </row>
    <row r="33" spans="1:1" x14ac:dyDescent="0.35">
      <c r="A33" s="16" t="s">
        <v>70</v>
      </c>
    </row>
    <row r="34" spans="1:1" x14ac:dyDescent="0.35">
      <c r="A34" s="16" t="s">
        <v>71</v>
      </c>
    </row>
    <row r="35" spans="1:1" x14ac:dyDescent="0.35">
      <c r="A35" s="16" t="s">
        <v>72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tabSelected="1" workbookViewId="0">
      <selection activeCell="A8" sqref="A8"/>
    </sheetView>
  </sheetViews>
  <sheetFormatPr defaultRowHeight="14.5" x14ac:dyDescent="0.35"/>
  <cols>
    <col min="1" max="1" width="36" customWidth="1"/>
    <col min="2" max="3" width="14" customWidth="1"/>
    <col min="4" max="4" width="23.6328125" customWidth="1"/>
    <col min="5" max="5" width="16" customWidth="1"/>
    <col min="6" max="6" width="18" customWidth="1"/>
  </cols>
  <sheetData>
    <row r="1" spans="1:6" ht="18.5" x14ac:dyDescent="0.45">
      <c r="A1" s="1" t="s">
        <v>0</v>
      </c>
    </row>
    <row r="2" spans="1:6" x14ac:dyDescent="0.35">
      <c r="A2" s="23" t="s">
        <v>1</v>
      </c>
      <c r="B2" s="22"/>
      <c r="C2" s="22"/>
      <c r="D2" s="22"/>
      <c r="E2" s="22"/>
      <c r="F2" s="22"/>
    </row>
    <row r="4" spans="1:6" ht="15.5" x14ac:dyDescent="0.35">
      <c r="A4" s="3" t="s">
        <v>2</v>
      </c>
    </row>
    <row r="5" spans="1:6" x14ac:dyDescent="0.35">
      <c r="A5" t="s">
        <v>3</v>
      </c>
      <c r="B5" s="4">
        <f>Assumptions!B9</f>
        <v>30000</v>
      </c>
    </row>
    <row r="6" spans="1:6" x14ac:dyDescent="0.35">
      <c r="A6" t="s">
        <v>4</v>
      </c>
      <c r="B6" s="4">
        <f>Assumptions!B8</f>
        <v>4500</v>
      </c>
    </row>
    <row r="7" spans="1:6" x14ac:dyDescent="0.35">
      <c r="A7" t="s">
        <v>132</v>
      </c>
      <c r="B7" s="14">
        <v>0.2</v>
      </c>
    </row>
    <row r="8" spans="1:6" x14ac:dyDescent="0.35">
      <c r="A8" t="s">
        <v>133</v>
      </c>
      <c r="B8" s="14">
        <v>0.8</v>
      </c>
    </row>
    <row r="9" spans="1:6" x14ac:dyDescent="0.35">
      <c r="A9" t="s">
        <v>5</v>
      </c>
      <c r="B9" s="5">
        <f>Assumptions!B17</f>
        <v>3200</v>
      </c>
    </row>
    <row r="11" spans="1:6" ht="15.5" x14ac:dyDescent="0.35">
      <c r="A11" s="3" t="s">
        <v>6</v>
      </c>
    </row>
    <row r="12" spans="1:6" x14ac:dyDescent="0.35">
      <c r="A12" s="6" t="s">
        <v>7</v>
      </c>
      <c r="B12" s="6" t="s">
        <v>8</v>
      </c>
      <c r="C12" s="6" t="s">
        <v>9</v>
      </c>
      <c r="D12" s="6" t="s">
        <v>10</v>
      </c>
      <c r="E12" s="6" t="s">
        <v>11</v>
      </c>
      <c r="F12" s="6" t="s">
        <v>12</v>
      </c>
    </row>
    <row r="13" spans="1:6" x14ac:dyDescent="0.35">
      <c r="A13" s="7" t="s">
        <v>13</v>
      </c>
      <c r="B13" s="7" t="s">
        <v>14</v>
      </c>
      <c r="C13" s="8">
        <f>Assumptions!B20</f>
        <v>0.2</v>
      </c>
      <c r="D13" s="9">
        <f>Monthly_Volume_Cost!D8</f>
        <v>19.2</v>
      </c>
      <c r="E13" s="9">
        <f>Monthly_Volume_Cost!E8</f>
        <v>230.39999999999998</v>
      </c>
      <c r="F13" s="10">
        <f>LLM_Unit_Economics!E5</f>
        <v>2000</v>
      </c>
    </row>
    <row r="14" spans="1:6" x14ac:dyDescent="0.35">
      <c r="A14" s="7" t="s">
        <v>15</v>
      </c>
      <c r="B14" s="7" t="s">
        <v>16</v>
      </c>
      <c r="C14" s="8">
        <f>Assumptions!B21</f>
        <v>0.8</v>
      </c>
      <c r="D14" s="9">
        <f>Monthly_Volume_Cost!D9</f>
        <v>76.8</v>
      </c>
      <c r="E14" s="9">
        <f>Monthly_Volume_Cost!E9</f>
        <v>921.59999999999991</v>
      </c>
      <c r="F14" s="10">
        <f>LLM_Unit_Economics!E6</f>
        <v>500</v>
      </c>
    </row>
    <row r="15" spans="1:6" x14ac:dyDescent="0.35">
      <c r="A15" s="7" t="s">
        <v>17</v>
      </c>
      <c r="B15" s="7" t="s">
        <v>18</v>
      </c>
      <c r="C15" s="8">
        <f>Assumptions!B22</f>
        <v>10</v>
      </c>
      <c r="D15" s="9">
        <f>Monthly_Volume_Cost!D10</f>
        <v>960</v>
      </c>
      <c r="E15" s="9">
        <f>Monthly_Volume_Cost!E10</f>
        <v>11520</v>
      </c>
      <c r="F15" s="10">
        <f>LLM_Unit_Economics!E7</f>
        <v>40</v>
      </c>
    </row>
    <row r="17" spans="1:6" ht="15.5" x14ac:dyDescent="0.35">
      <c r="A17" s="3" t="s">
        <v>19</v>
      </c>
    </row>
    <row r="18" spans="1:6" x14ac:dyDescent="0.35">
      <c r="A18" s="6" t="s">
        <v>20</v>
      </c>
      <c r="B18" s="6" t="s">
        <v>21</v>
      </c>
      <c r="C18" s="6" t="s">
        <v>22</v>
      </c>
    </row>
    <row r="19" spans="1:6" x14ac:dyDescent="0.35">
      <c r="A19" s="7" t="s">
        <v>135</v>
      </c>
      <c r="B19" s="9">
        <f>14*50</f>
        <v>700</v>
      </c>
      <c r="C19" s="9">
        <f>B19*12</f>
        <v>8400</v>
      </c>
      <c r="D19" s="2" t="s">
        <v>136</v>
      </c>
    </row>
    <row r="20" spans="1:6" x14ac:dyDescent="0.35">
      <c r="A20" s="7" t="s">
        <v>137</v>
      </c>
      <c r="B20" s="26" t="s">
        <v>138</v>
      </c>
      <c r="C20" s="26" t="s">
        <v>139</v>
      </c>
      <c r="D20" s="2"/>
    </row>
    <row r="21" spans="1:6" x14ac:dyDescent="0.35">
      <c r="A21" s="7" t="s">
        <v>24</v>
      </c>
      <c r="B21" s="9">
        <f>D15</f>
        <v>960</v>
      </c>
      <c r="C21" s="9">
        <f>E15</f>
        <v>11520</v>
      </c>
    </row>
    <row r="22" spans="1:6" x14ac:dyDescent="0.35">
      <c r="A22" s="27" t="s">
        <v>25</v>
      </c>
      <c r="B22" s="28">
        <f>D14</f>
        <v>76.8</v>
      </c>
      <c r="C22" s="28">
        <f>E14</f>
        <v>921.59999999999991</v>
      </c>
    </row>
    <row r="24" spans="1:6" ht="15.5" x14ac:dyDescent="0.35">
      <c r="A24" s="3" t="s">
        <v>134</v>
      </c>
    </row>
    <row r="25" spans="1:6" x14ac:dyDescent="0.35">
      <c r="A25" s="22" t="s">
        <v>26</v>
      </c>
      <c r="B25" s="22"/>
      <c r="C25" s="22"/>
      <c r="D25" s="22"/>
      <c r="E25" s="22"/>
      <c r="F25" s="22"/>
    </row>
    <row r="26" spans="1:6" x14ac:dyDescent="0.35">
      <c r="A26" s="22" t="s">
        <v>27</v>
      </c>
      <c r="B26" s="22"/>
      <c r="C26" s="22"/>
      <c r="D26" s="22"/>
      <c r="E26" s="22"/>
      <c r="F26" s="22"/>
    </row>
    <row r="27" spans="1:6" x14ac:dyDescent="0.35">
      <c r="A27" s="22" t="s">
        <v>28</v>
      </c>
      <c r="B27" s="22"/>
      <c r="C27" s="22"/>
      <c r="D27" s="22"/>
      <c r="E27" s="22"/>
      <c r="F27" s="22"/>
    </row>
    <row r="28" spans="1:6" x14ac:dyDescent="0.35">
      <c r="A28" s="22" t="s">
        <v>29</v>
      </c>
      <c r="B28" s="22"/>
      <c r="C28" s="22"/>
      <c r="D28" s="22"/>
      <c r="E28" s="22"/>
      <c r="F28" s="22"/>
    </row>
    <row r="29" spans="1:6" x14ac:dyDescent="0.35">
      <c r="A29" s="22" t="s">
        <v>30</v>
      </c>
      <c r="B29" s="22"/>
      <c r="C29" s="22"/>
      <c r="D29" s="22"/>
      <c r="E29" s="22"/>
      <c r="F29" s="22"/>
    </row>
    <row r="30" spans="1:6" x14ac:dyDescent="0.35">
      <c r="A30" s="22" t="s">
        <v>31</v>
      </c>
      <c r="B30" s="22"/>
      <c r="C30" s="22"/>
      <c r="D30" s="22"/>
      <c r="E30" s="22"/>
      <c r="F30" s="22"/>
    </row>
  </sheetData>
  <mergeCells count="7">
    <mergeCell ref="A26:F26"/>
    <mergeCell ref="A2:F2"/>
    <mergeCell ref="A30:F30"/>
    <mergeCell ref="A25:F25"/>
    <mergeCell ref="A29:F29"/>
    <mergeCell ref="A28:F28"/>
    <mergeCell ref="A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workbookViewId="0">
      <pane ySplit="3" topLeftCell="A4" activePane="bottomLeft" state="frozen"/>
      <selection pane="bottomLeft"/>
    </sheetView>
  </sheetViews>
  <sheetFormatPr defaultRowHeight="14.5" x14ac:dyDescent="0.35"/>
  <cols>
    <col min="1" max="1" width="10" customWidth="1"/>
    <col min="2" max="4" width="14" customWidth="1"/>
    <col min="5" max="6" width="16" customWidth="1"/>
    <col min="7" max="9" width="14" customWidth="1"/>
  </cols>
  <sheetData>
    <row r="1" spans="1:9" ht="18.5" x14ac:dyDescent="0.45">
      <c r="A1" s="1" t="s">
        <v>73</v>
      </c>
    </row>
    <row r="2" spans="1:9" x14ac:dyDescent="0.35">
      <c r="A2" s="2" t="s">
        <v>74</v>
      </c>
    </row>
    <row r="4" spans="1:9" ht="29" x14ac:dyDescent="0.35">
      <c r="A4" s="6" t="s">
        <v>7</v>
      </c>
      <c r="B4" s="6" t="s">
        <v>8</v>
      </c>
      <c r="C4" s="6" t="s">
        <v>75</v>
      </c>
      <c r="D4" s="6" t="s">
        <v>76</v>
      </c>
      <c r="E4" s="6" t="s">
        <v>77</v>
      </c>
      <c r="F4" s="6" t="s">
        <v>78</v>
      </c>
      <c r="G4" s="6" t="s">
        <v>79</v>
      </c>
      <c r="H4" s="6" t="s">
        <v>80</v>
      </c>
      <c r="I4" s="6" t="s">
        <v>81</v>
      </c>
    </row>
    <row r="5" spans="1:9" x14ac:dyDescent="0.35">
      <c r="A5" s="7" t="s">
        <v>13</v>
      </c>
      <c r="B5" s="7" t="s">
        <v>14</v>
      </c>
      <c r="C5" s="8">
        <f>Assumptions!B20</f>
        <v>0.2</v>
      </c>
      <c r="D5" s="10">
        <f>IF(C5=0,0,1000000/C5)</f>
        <v>5000000</v>
      </c>
      <c r="E5" s="10">
        <f>IF(OR(C5=0,Assumptions!B15=0),0,INT(D5/Assumptions!B15))</f>
        <v>2000</v>
      </c>
      <c r="F5" s="10">
        <f>IF(OR(C5=0,Assumptions!B16=0),0,INT(D5/Assumptions!B16))</f>
        <v>833</v>
      </c>
      <c r="G5" s="17">
        <f>Assumptions!B15*C5/1000000</f>
        <v>5.0000000000000001E-4</v>
      </c>
      <c r="H5" s="17">
        <f>Assumptions!B16*C5/1000000</f>
        <v>1.1999999999999999E-3</v>
      </c>
      <c r="I5" s="17">
        <f>Assumptions!B17*C5/1000000</f>
        <v>6.4000000000000005E-4</v>
      </c>
    </row>
    <row r="6" spans="1:9" x14ac:dyDescent="0.35">
      <c r="A6" s="7" t="s">
        <v>15</v>
      </c>
      <c r="B6" s="7" t="s">
        <v>16</v>
      </c>
      <c r="C6" s="8">
        <f>Assumptions!B21</f>
        <v>0.8</v>
      </c>
      <c r="D6" s="10">
        <f>IF(C6=0,0,1000000/C6)</f>
        <v>1250000</v>
      </c>
      <c r="E6" s="10">
        <f>IF(OR(C6=0,Assumptions!B15=0),0,INT(D6/Assumptions!B15))</f>
        <v>500</v>
      </c>
      <c r="F6" s="10">
        <f>IF(OR(C6=0,Assumptions!B16=0),0,INT(D6/Assumptions!B16))</f>
        <v>208</v>
      </c>
      <c r="G6" s="17">
        <f>Assumptions!B15*C6/1000000</f>
        <v>2E-3</v>
      </c>
      <c r="H6" s="17">
        <f>Assumptions!B16*C6/1000000</f>
        <v>4.7999999999999996E-3</v>
      </c>
      <c r="I6" s="17">
        <f>Assumptions!B17*C6/1000000</f>
        <v>2.5600000000000002E-3</v>
      </c>
    </row>
    <row r="7" spans="1:9" x14ac:dyDescent="0.35">
      <c r="A7" s="7" t="s">
        <v>17</v>
      </c>
      <c r="B7" s="7" t="s">
        <v>18</v>
      </c>
      <c r="C7" s="8">
        <f>Assumptions!B22</f>
        <v>10</v>
      </c>
      <c r="D7" s="10">
        <f>IF(C7=0,0,1000000/C7)</f>
        <v>100000</v>
      </c>
      <c r="E7" s="10">
        <f>IF(OR(C7=0,Assumptions!B15=0),0,INT(D7/Assumptions!B15))</f>
        <v>40</v>
      </c>
      <c r="F7" s="10">
        <f>IF(OR(C7=0,Assumptions!B16=0),0,INT(D7/Assumptions!B16))</f>
        <v>16</v>
      </c>
      <c r="G7" s="17">
        <f>Assumptions!B15*C7/1000000</f>
        <v>2.5000000000000001E-2</v>
      </c>
      <c r="H7" s="17">
        <f>Assumptions!B16*C7/1000000</f>
        <v>0.06</v>
      </c>
      <c r="I7" s="17">
        <f>Assumptions!B17*C7/1000000</f>
        <v>3.2000000000000001E-2</v>
      </c>
    </row>
    <row r="9" spans="1:9" ht="15.5" x14ac:dyDescent="0.35">
      <c r="A9" s="3" t="s">
        <v>82</v>
      </c>
    </row>
    <row r="10" spans="1:9" ht="40" customHeight="1" x14ac:dyDescent="0.35">
      <c r="A10" s="25" t="s">
        <v>83</v>
      </c>
      <c r="B10" s="22"/>
      <c r="C10" s="22"/>
      <c r="D10" s="22"/>
      <c r="E10" s="22"/>
      <c r="F10" s="22"/>
      <c r="G10" s="22"/>
      <c r="H10" s="22"/>
      <c r="I10" s="22"/>
    </row>
  </sheetData>
  <mergeCells count="1">
    <mergeCell ref="A10:I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3"/>
  <sheetViews>
    <sheetView workbookViewId="0">
      <pane ySplit="3" topLeftCell="A4" activePane="bottomLeft" state="frozen"/>
      <selection pane="bottomLeft" activeCell="E35" sqref="E35"/>
    </sheetView>
  </sheetViews>
  <sheetFormatPr defaultRowHeight="14.5" x14ac:dyDescent="0.35"/>
  <cols>
    <col min="1" max="1" width="28" customWidth="1"/>
    <col min="2" max="2" width="20" customWidth="1"/>
    <col min="3" max="3" width="22" customWidth="1"/>
    <col min="4" max="4" width="18" customWidth="1"/>
    <col min="5" max="5" width="16" customWidth="1"/>
    <col min="6" max="6" width="22" customWidth="1"/>
  </cols>
  <sheetData>
    <row r="1" spans="1:6" ht="18.5" x14ac:dyDescent="0.45">
      <c r="A1" s="1" t="s">
        <v>84</v>
      </c>
    </row>
    <row r="2" spans="1:6" x14ac:dyDescent="0.35">
      <c r="A2" s="2" t="s">
        <v>85</v>
      </c>
    </row>
    <row r="4" spans="1:6" ht="15.5" x14ac:dyDescent="0.35">
      <c r="A4" s="3" t="s">
        <v>86</v>
      </c>
    </row>
    <row r="5" spans="1:6" x14ac:dyDescent="0.35">
      <c r="A5" t="s">
        <v>87</v>
      </c>
      <c r="B5" s="18">
        <f>Assumptions!B9</f>
        <v>30000</v>
      </c>
    </row>
    <row r="7" spans="1:6" ht="29" x14ac:dyDescent="0.35">
      <c r="A7" s="6" t="s">
        <v>7</v>
      </c>
      <c r="B7" s="6" t="s">
        <v>88</v>
      </c>
      <c r="C7" s="6" t="s">
        <v>89</v>
      </c>
      <c r="D7" s="6" t="s">
        <v>10</v>
      </c>
      <c r="E7" s="6" t="s">
        <v>11</v>
      </c>
      <c r="F7" s="6" t="s">
        <v>90</v>
      </c>
    </row>
    <row r="8" spans="1:6" x14ac:dyDescent="0.35">
      <c r="A8" s="7" t="s">
        <v>13</v>
      </c>
      <c r="B8" s="9">
        <f>$B$5*Assumptions!$B$15*Assumptions!B20/1000000</f>
        <v>15</v>
      </c>
      <c r="C8" s="9">
        <f>$B$5*Assumptions!$B$16*Assumptions!B20/1000000</f>
        <v>36</v>
      </c>
      <c r="D8" s="9">
        <f>$B$5*Assumptions!$B$17*Assumptions!B20/1000000</f>
        <v>19.2</v>
      </c>
      <c r="E8" s="9">
        <f>D8*Assumptions!$B$12</f>
        <v>230.39999999999998</v>
      </c>
      <c r="F8" s="17">
        <f>IF($B$5=0,0,D8/$B$5)</f>
        <v>6.3999999999999994E-4</v>
      </c>
    </row>
    <row r="9" spans="1:6" x14ac:dyDescent="0.35">
      <c r="A9" s="7" t="s">
        <v>15</v>
      </c>
      <c r="B9" s="9">
        <f>$B$5*Assumptions!$B$15*Assumptions!B21/1000000</f>
        <v>60</v>
      </c>
      <c r="C9" s="9">
        <f>$B$5*Assumptions!$B$16*Assumptions!B21/1000000</f>
        <v>144</v>
      </c>
      <c r="D9" s="9">
        <f>$B$5*Assumptions!$B$17*Assumptions!B21/1000000</f>
        <v>76.8</v>
      </c>
      <c r="E9" s="9">
        <f>D9*Assumptions!$B$12</f>
        <v>921.59999999999991</v>
      </c>
      <c r="F9" s="17">
        <f>IF($B$5=0,0,D9/$B$5)</f>
        <v>2.5599999999999998E-3</v>
      </c>
    </row>
    <row r="10" spans="1:6" x14ac:dyDescent="0.35">
      <c r="A10" s="7" t="s">
        <v>17</v>
      </c>
      <c r="B10" s="9">
        <f>$B$5*Assumptions!$B$15*Assumptions!B22/1000000</f>
        <v>750</v>
      </c>
      <c r="C10" s="9">
        <f>$B$5*Assumptions!$B$16*Assumptions!B22/1000000</f>
        <v>1800</v>
      </c>
      <c r="D10" s="9">
        <f>$B$5*Assumptions!$B$17*Assumptions!B22/1000000</f>
        <v>960</v>
      </c>
      <c r="E10" s="9">
        <f>D10*Assumptions!$B$12</f>
        <v>11520</v>
      </c>
      <c r="F10" s="17">
        <f>IF($B$5=0,0,D10/$B$5)</f>
        <v>3.2000000000000001E-2</v>
      </c>
    </row>
    <row r="12" spans="1:6" ht="15.5" x14ac:dyDescent="0.35">
      <c r="A12" s="3" t="s">
        <v>91</v>
      </c>
    </row>
    <row r="13" spans="1:6" x14ac:dyDescent="0.35">
      <c r="A13" t="s">
        <v>87</v>
      </c>
      <c r="B13" s="4">
        <f>Assumptions!B8</f>
        <v>4500</v>
      </c>
    </row>
    <row r="15" spans="1:6" ht="29" x14ac:dyDescent="0.35">
      <c r="A15" s="6" t="s">
        <v>7</v>
      </c>
      <c r="B15" s="6" t="s">
        <v>88</v>
      </c>
      <c r="C15" s="6" t="s">
        <v>89</v>
      </c>
      <c r="D15" s="6" t="s">
        <v>10</v>
      </c>
      <c r="E15" s="6" t="s">
        <v>11</v>
      </c>
      <c r="F15" s="6" t="s">
        <v>90</v>
      </c>
    </row>
    <row r="16" spans="1:6" x14ac:dyDescent="0.35">
      <c r="A16" s="7" t="s">
        <v>13</v>
      </c>
      <c r="B16" s="9">
        <f>$B$13*Assumptions!$B$15*Assumptions!B20/1000000</f>
        <v>2.25</v>
      </c>
      <c r="C16" s="9">
        <f>$B$13*Assumptions!$B$16*Assumptions!B20/1000000</f>
        <v>5.4</v>
      </c>
      <c r="D16" s="9">
        <f>$B$13*Assumptions!$B$17*Assumptions!B20/1000000</f>
        <v>2.88</v>
      </c>
      <c r="E16" s="9">
        <f>D16*Assumptions!$B$12</f>
        <v>34.56</v>
      </c>
      <c r="F16" s="17">
        <f>IF($B$13=0,0,D16/$B$13)</f>
        <v>6.3999999999999994E-4</v>
      </c>
    </row>
    <row r="17" spans="1:6" x14ac:dyDescent="0.35">
      <c r="A17" s="7" t="s">
        <v>15</v>
      </c>
      <c r="B17" s="9">
        <f>$B$13*Assumptions!$B$15*Assumptions!B21/1000000</f>
        <v>9</v>
      </c>
      <c r="C17" s="9">
        <f>$B$13*Assumptions!$B$16*Assumptions!B21/1000000</f>
        <v>21.6</v>
      </c>
      <c r="D17" s="9">
        <f>$B$13*Assumptions!$B$17*Assumptions!B21/1000000</f>
        <v>11.52</v>
      </c>
      <c r="E17" s="9">
        <f>D17*Assumptions!$B$12</f>
        <v>138.24</v>
      </c>
      <c r="F17" s="17">
        <f>IF($B$13=0,0,D17/$B$13)</f>
        <v>2.5599999999999998E-3</v>
      </c>
    </row>
    <row r="18" spans="1:6" x14ac:dyDescent="0.35">
      <c r="A18" s="7" t="s">
        <v>17</v>
      </c>
      <c r="B18" s="9">
        <f>$B$13*Assumptions!$B$15*Assumptions!B22/1000000</f>
        <v>112.5</v>
      </c>
      <c r="C18" s="9">
        <f>$B$13*Assumptions!$B$16*Assumptions!B22/1000000</f>
        <v>270</v>
      </c>
      <c r="D18" s="9">
        <f>$B$13*Assumptions!$B$17*Assumptions!B22/1000000</f>
        <v>144</v>
      </c>
      <c r="E18" s="9">
        <f>D18*Assumptions!$B$12</f>
        <v>1728</v>
      </c>
      <c r="F18" s="17">
        <f>IF($B$13=0,0,D18/$B$13)</f>
        <v>3.2000000000000001E-2</v>
      </c>
    </row>
    <row r="20" spans="1:6" ht="15.5" x14ac:dyDescent="0.35">
      <c r="A20" s="3" t="s">
        <v>92</v>
      </c>
    </row>
    <row r="21" spans="1:6" x14ac:dyDescent="0.35">
      <c r="A21" s="6" t="s">
        <v>93</v>
      </c>
      <c r="B21" s="6" t="s">
        <v>94</v>
      </c>
      <c r="C21" s="6" t="s">
        <v>95</v>
      </c>
      <c r="D21" s="6" t="s">
        <v>96</v>
      </c>
    </row>
    <row r="22" spans="1:6" x14ac:dyDescent="0.35">
      <c r="A22" s="13">
        <v>0</v>
      </c>
      <c r="B22" s="8">
        <f>(1-A22)*Assumptions!$B$15+A22*Assumptions!$B$16</f>
        <v>2500</v>
      </c>
      <c r="C22" s="9">
        <f>Assumptions!$B$9*B22*Assumptions!$B$22/1000000</f>
        <v>750</v>
      </c>
      <c r="D22" s="9">
        <f>C22*Assumptions!$B$12</f>
        <v>9000</v>
      </c>
    </row>
    <row r="23" spans="1:6" x14ac:dyDescent="0.35">
      <c r="A23" s="13">
        <v>0.2</v>
      </c>
      <c r="B23" s="8">
        <f>(1-A23)*Assumptions!$B$15+A23*Assumptions!$B$16</f>
        <v>3200</v>
      </c>
      <c r="C23" s="9">
        <f>Assumptions!$B$9*B23*Assumptions!$B$22/1000000</f>
        <v>960</v>
      </c>
      <c r="D23" s="9">
        <f>C23*Assumptions!$B$12</f>
        <v>11520</v>
      </c>
    </row>
    <row r="24" spans="1:6" x14ac:dyDescent="0.35">
      <c r="A24" s="13">
        <v>0.5</v>
      </c>
      <c r="B24" s="8">
        <f>(1-A24)*Assumptions!$B$15+A24*Assumptions!$B$16</f>
        <v>4250</v>
      </c>
      <c r="C24" s="9">
        <f>Assumptions!$B$9*B24*Assumptions!$B$22/1000000</f>
        <v>1275</v>
      </c>
      <c r="D24" s="9">
        <f>C24*Assumptions!$B$12</f>
        <v>15300</v>
      </c>
    </row>
    <row r="25" spans="1:6" x14ac:dyDescent="0.35">
      <c r="A25" s="13">
        <v>1</v>
      </c>
      <c r="B25" s="8">
        <f>(1-A25)*Assumptions!$B$15+A25*Assumptions!$B$16</f>
        <v>6000</v>
      </c>
      <c r="C25" s="9">
        <f>Assumptions!$B$9*B25*Assumptions!$B$22/1000000</f>
        <v>1800</v>
      </c>
      <c r="D25" s="9">
        <f>C25*Assumptions!$B$12</f>
        <v>21600</v>
      </c>
    </row>
    <row r="27" spans="1:6" ht="36" customHeight="1" x14ac:dyDescent="0.35">
      <c r="A27" s="25" t="s">
        <v>97</v>
      </c>
      <c r="B27" s="22"/>
      <c r="C27" s="22"/>
      <c r="D27" s="22"/>
      <c r="E27" s="22"/>
      <c r="F27" s="22"/>
    </row>
    <row r="29" spans="1:6" ht="15.5" x14ac:dyDescent="0.35">
      <c r="A29" s="3" t="s">
        <v>98</v>
      </c>
    </row>
    <row r="30" spans="1:6" x14ac:dyDescent="0.35">
      <c r="A30" t="s">
        <v>7</v>
      </c>
      <c r="B30" t="s">
        <v>99</v>
      </c>
    </row>
    <row r="31" spans="1:6" x14ac:dyDescent="0.35">
      <c r="A31" t="s">
        <v>13</v>
      </c>
      <c r="B31" s="19">
        <f>D8</f>
        <v>19.2</v>
      </c>
    </row>
    <row r="32" spans="1:6" x14ac:dyDescent="0.35">
      <c r="A32" t="s">
        <v>15</v>
      </c>
      <c r="B32" s="19">
        <f>D9</f>
        <v>76.8</v>
      </c>
    </row>
    <row r="33" spans="1:2" x14ac:dyDescent="0.35">
      <c r="A33" t="s">
        <v>17</v>
      </c>
      <c r="B33" s="19">
        <f>D10</f>
        <v>960</v>
      </c>
    </row>
  </sheetData>
  <mergeCells count="1">
    <mergeCell ref="A27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"/>
  <sheetViews>
    <sheetView workbookViewId="0">
      <pane ySplit="3" topLeftCell="A4" activePane="bottomLeft" state="frozen"/>
      <selection pane="bottomLeft"/>
    </sheetView>
  </sheetViews>
  <sheetFormatPr defaultRowHeight="14.5" x14ac:dyDescent="0.35"/>
  <cols>
    <col min="1" max="1" width="42" customWidth="1"/>
    <col min="2" max="2" width="18" customWidth="1"/>
    <col min="3" max="3" width="14" customWidth="1"/>
    <col min="4" max="4" width="36" customWidth="1"/>
  </cols>
  <sheetData>
    <row r="1" spans="1:6" ht="18.5" x14ac:dyDescent="0.45">
      <c r="A1" s="1" t="s">
        <v>100</v>
      </c>
    </row>
    <row r="2" spans="1:6" ht="48" customHeight="1" x14ac:dyDescent="0.35">
      <c r="A2" s="25" t="s">
        <v>101</v>
      </c>
      <c r="B2" s="22"/>
      <c r="C2" s="22"/>
      <c r="D2" s="22"/>
      <c r="E2" s="22"/>
      <c r="F2" s="22"/>
    </row>
    <row r="4" spans="1:6" ht="15.5" x14ac:dyDescent="0.35">
      <c r="A4" s="3" t="s">
        <v>102</v>
      </c>
    </row>
    <row r="5" spans="1:6" x14ac:dyDescent="0.35">
      <c r="A5" s="6" t="s">
        <v>103</v>
      </c>
      <c r="B5" s="6" t="s">
        <v>104</v>
      </c>
      <c r="C5" s="6" t="s">
        <v>105</v>
      </c>
    </row>
    <row r="6" spans="1:6" x14ac:dyDescent="0.35">
      <c r="A6" s="7" t="s">
        <v>106</v>
      </c>
      <c r="B6" s="9">
        <f>IF(Assumptions!B27=1,0,Assumptions!B5*Assumptions!B25)</f>
        <v>700</v>
      </c>
      <c r="C6" s="7" t="s">
        <v>107</v>
      </c>
    </row>
    <row r="7" spans="1:6" x14ac:dyDescent="0.35">
      <c r="A7" s="7" t="s">
        <v>108</v>
      </c>
      <c r="B7" s="9">
        <f>IF(Assumptions!B27=1,Assumptions!B26,0)</f>
        <v>0</v>
      </c>
      <c r="C7" s="7" t="s">
        <v>109</v>
      </c>
    </row>
    <row r="8" spans="1:6" x14ac:dyDescent="0.35">
      <c r="A8" s="7" t="s">
        <v>110</v>
      </c>
      <c r="B8" s="9">
        <f>Assumptions!B28</f>
        <v>0</v>
      </c>
      <c r="C8" s="7" t="s">
        <v>111</v>
      </c>
    </row>
    <row r="9" spans="1:6" x14ac:dyDescent="0.35">
      <c r="A9" s="7" t="s">
        <v>112</v>
      </c>
      <c r="B9" s="9">
        <f>Assumptions!B29</f>
        <v>0</v>
      </c>
      <c r="C9" s="7"/>
    </row>
    <row r="10" spans="1:6" x14ac:dyDescent="0.35">
      <c r="A10" s="7" t="s">
        <v>113</v>
      </c>
      <c r="B10" s="9" t="e">
        <f>Assumptions!#REF!</f>
        <v>#REF!</v>
      </c>
      <c r="C10" s="7"/>
    </row>
    <row r="11" spans="1:6" x14ac:dyDescent="0.35">
      <c r="A11" s="20" t="s">
        <v>114</v>
      </c>
      <c r="B11" s="21" t="e">
        <f>SUM(B6:B10)</f>
        <v>#REF!</v>
      </c>
      <c r="C11" s="7"/>
    </row>
    <row r="12" spans="1:6" x14ac:dyDescent="0.35">
      <c r="A12" s="7" t="s">
        <v>115</v>
      </c>
      <c r="B12" s="9" t="e">
        <f>B11*Assumptions!B12</f>
        <v>#REF!</v>
      </c>
      <c r="C12" s="7"/>
    </row>
    <row r="14" spans="1:6" ht="15.5" x14ac:dyDescent="0.35">
      <c r="A14" s="3" t="s">
        <v>116</v>
      </c>
    </row>
    <row r="15" spans="1:6" ht="43.5" x14ac:dyDescent="0.35">
      <c r="A15" s="6" t="s">
        <v>7</v>
      </c>
      <c r="B15" s="6" t="s">
        <v>117</v>
      </c>
      <c r="C15" s="6" t="s">
        <v>22</v>
      </c>
      <c r="D15" s="6" t="s">
        <v>105</v>
      </c>
    </row>
    <row r="16" spans="1:6" x14ac:dyDescent="0.35">
      <c r="A16" s="7" t="s">
        <v>13</v>
      </c>
      <c r="B16" s="9">
        <f>Monthly_Volume_Cost!D8</f>
        <v>19.2</v>
      </c>
      <c r="C16" s="9">
        <f>Monthly_Volume_Cost!E8</f>
        <v>230.39999999999998</v>
      </c>
      <c r="D16" s="7" t="s">
        <v>118</v>
      </c>
    </row>
    <row r="17" spans="1:4" x14ac:dyDescent="0.35">
      <c r="A17" s="7" t="s">
        <v>15</v>
      </c>
      <c r="B17" s="9">
        <f>Monthly_Volume_Cost!D9</f>
        <v>76.8</v>
      </c>
      <c r="C17" s="9">
        <f>Monthly_Volume_Cost!E9</f>
        <v>921.59999999999991</v>
      </c>
      <c r="D17" s="7"/>
    </row>
    <row r="18" spans="1:4" x14ac:dyDescent="0.35">
      <c r="A18" s="7" t="s">
        <v>17</v>
      </c>
      <c r="B18" s="9">
        <f>Monthly_Volume_Cost!D10</f>
        <v>960</v>
      </c>
      <c r="C18" s="9">
        <f>Monthly_Volume_Cost!E10</f>
        <v>11520</v>
      </c>
      <c r="D18" s="7"/>
    </row>
    <row r="20" spans="1:4" ht="15.5" x14ac:dyDescent="0.35">
      <c r="A20" s="3" t="s">
        <v>119</v>
      </c>
    </row>
    <row r="21" spans="1:4" x14ac:dyDescent="0.35">
      <c r="A21" s="6" t="s">
        <v>20</v>
      </c>
      <c r="B21" s="6" t="s">
        <v>104</v>
      </c>
      <c r="C21" s="6" t="s">
        <v>120</v>
      </c>
      <c r="D21" s="6" t="s">
        <v>121</v>
      </c>
    </row>
    <row r="22" spans="1:4" x14ac:dyDescent="0.35">
      <c r="A22" s="7" t="s">
        <v>23</v>
      </c>
      <c r="B22" s="9" t="e">
        <f>B11</f>
        <v>#REF!</v>
      </c>
      <c r="C22" s="9" t="e">
        <f>B12</f>
        <v>#REF!</v>
      </c>
      <c r="D22" s="17" t="e">
        <f>IF(Assumptions!B9=0,0,B22/Assumptions!B9)</f>
        <v>#REF!</v>
      </c>
    </row>
    <row r="23" spans="1:4" x14ac:dyDescent="0.35">
      <c r="A23" s="7" t="s">
        <v>122</v>
      </c>
      <c r="B23" s="9">
        <f t="shared" ref="B23:C25" si="0">B16</f>
        <v>19.2</v>
      </c>
      <c r="C23" s="9">
        <f t="shared" si="0"/>
        <v>230.39999999999998</v>
      </c>
      <c r="D23" s="17">
        <f>IF(Assumptions!B9=0,0,B23/Assumptions!B9)</f>
        <v>6.3999999999999994E-4</v>
      </c>
    </row>
    <row r="24" spans="1:4" x14ac:dyDescent="0.35">
      <c r="A24" s="7" t="s">
        <v>123</v>
      </c>
      <c r="B24" s="9">
        <f t="shared" si="0"/>
        <v>76.8</v>
      </c>
      <c r="C24" s="9">
        <f t="shared" si="0"/>
        <v>921.59999999999991</v>
      </c>
      <c r="D24" s="17">
        <f>IF(Assumptions!B9=0,0,B24/Assumptions!B9)</f>
        <v>2.5599999999999998E-3</v>
      </c>
    </row>
    <row r="25" spans="1:4" x14ac:dyDescent="0.35">
      <c r="A25" s="7" t="s">
        <v>124</v>
      </c>
      <c r="B25" s="9">
        <f t="shared" si="0"/>
        <v>960</v>
      </c>
      <c r="C25" s="9">
        <f t="shared" si="0"/>
        <v>11520</v>
      </c>
      <c r="D25" s="17">
        <f>IF(Assumptions!B9=0,0,B25/Assumptions!B9)</f>
        <v>3.2000000000000001E-2</v>
      </c>
    </row>
    <row r="27" spans="1:4" x14ac:dyDescent="0.35">
      <c r="A27" t="s">
        <v>125</v>
      </c>
    </row>
    <row r="28" spans="1:4" x14ac:dyDescent="0.35">
      <c r="A28" t="s">
        <v>20</v>
      </c>
      <c r="B28" t="s">
        <v>126</v>
      </c>
    </row>
    <row r="29" spans="1:4" x14ac:dyDescent="0.35">
      <c r="A29" t="s">
        <v>127</v>
      </c>
      <c r="B29" s="19" t="e">
        <f>B22</f>
        <v>#REF!</v>
      </c>
    </row>
    <row r="30" spans="1:4" x14ac:dyDescent="0.35">
      <c r="A30" t="s">
        <v>128</v>
      </c>
      <c r="B30" s="19">
        <f>B23</f>
        <v>19.2</v>
      </c>
    </row>
    <row r="31" spans="1:4" x14ac:dyDescent="0.35">
      <c r="A31" t="s">
        <v>129</v>
      </c>
      <c r="B31" s="19">
        <f>B24</f>
        <v>76.8</v>
      </c>
    </row>
    <row r="32" spans="1:4" x14ac:dyDescent="0.35">
      <c r="A32" t="s">
        <v>130</v>
      </c>
      <c r="B32" s="19">
        <f>B25</f>
        <v>960</v>
      </c>
    </row>
    <row r="34" spans="1:5" ht="48" customHeight="1" x14ac:dyDescent="0.35">
      <c r="A34" s="25" t="s">
        <v>131</v>
      </c>
      <c r="B34" s="22"/>
      <c r="C34" s="22"/>
      <c r="D34" s="22"/>
      <c r="E34" s="22"/>
    </row>
  </sheetData>
  <mergeCells count="2">
    <mergeCell ref="A2:F2"/>
    <mergeCell ref="A34:E34"/>
  </mergeCells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Executive_Summary</vt:lpstr>
      <vt:lpstr>LLM_Unit_Economics</vt:lpstr>
      <vt:lpstr>Monthly_Volume_Cost</vt:lpstr>
      <vt:lpstr>BI_Warehouse_Compare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KONDHALKAR, RAHUL</cp:lastModifiedBy>
  <dcterms:created xsi:type="dcterms:W3CDTF">2026-08-25T10:53:40Z</dcterms:created>
  <dcterms:modified xsi:type="dcterms:W3CDTF">2026-08-25T11:22:54Z</dcterms:modified>
</cp:coreProperties>
</file>