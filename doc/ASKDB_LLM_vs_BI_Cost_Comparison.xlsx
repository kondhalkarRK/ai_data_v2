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LLM_Unit_Economics" sheetId="3" state="visible" r:id="rId3"/>
    <sheet xmlns:r="http://schemas.openxmlformats.org/officeDocument/2006/relationships" name="Monthly_Volume_Cost" sheetId="4" state="visible" r:id="rId4"/>
    <sheet xmlns:r="http://schemas.openxmlformats.org/officeDocument/2006/relationships" name="BI_Warehouse_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&quot;$&quot;#,##0.00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sz val="10"/>
    </font>
    <font>
      <i val="1"/>
      <color rgb="00666666"/>
      <sz val="9"/>
    </font>
    <font>
      <color rgb="00555555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6" fillId="3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3" fontId="0" fillId="2" borderId="1" pivotButton="0" quotePrefix="0" xfId="0"/>
    <xf numFmtId="9" fontId="0" fillId="2" borderId="1" pivotButton="0" quotePrefix="0" xfId="0"/>
    <xf numFmtId="9" fontId="0" fillId="0" borderId="0" pivotButton="0" quotePrefix="0" xfId="0"/>
    <xf numFmtId="4" fontId="0" fillId="2" borderId="1" pivotButton="0" quotePrefix="0" xfId="0"/>
    <xf numFmtId="0" fontId="5" fillId="0" borderId="0" pivotButton="0" quotePrefix="0" xfId="0"/>
    <xf numFmtId="164" fontId="0" fillId="0" borderId="1" pivotButton="0" quotePrefix="0" xfId="0"/>
    <xf numFmtId="3" fontId="0" fillId="2" borderId="0" pivotButton="0" quotePrefix="0" xfId="0"/>
    <xf numFmtId="165" fontId="0" fillId="0" borderId="0" pivotButton="0" quotePrefix="0" xfId="0"/>
    <xf numFmtId="0" fontId="7" fillId="0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Showcase monthly LLM cost (blended)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'Monthly_Volume_Cost'!B30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'Monthly_Volume_Cost'!$A$31:$A$33</f>
            </numRef>
          </cat>
          <val>
            <numRef>
              <f>'Monthly_Volume_Cost'!$B$31:$B$33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cost: Classic BI+DW vs ASK-DB LLM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'BI_Warehouse_Compare'!B28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'BI_Warehouse_Compare'!$A$29:$A$32</f>
            </numRef>
          </cat>
          <val>
            <numRef>
              <f>'BI_Warehouse_Compare'!$B$29:$B$32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19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ASK-DB cost showcase — Executive summary</t>
        </is>
      </c>
    </row>
    <row r="2">
      <c r="A2" s="2" t="inlineStr">
        <is>
          <t>Indicative Capgemini Studio GPT rates · token model from ASK-DB (2,500 no-narr / 6,000 with-narr). Edit yellow cells on Assumptions — this page updates automatically.</t>
        </is>
      </c>
    </row>
    <row r="4">
      <c r="A4" s="3" t="inlineStr">
        <is>
          <t>Key volume inputs</t>
        </is>
      </c>
    </row>
    <row r="5">
      <c r="A5" t="inlineStr">
        <is>
          <t>Showcase questions / month</t>
        </is>
      </c>
      <c r="B5" s="4">
        <f>Assumptions!B9</f>
        <v/>
      </c>
    </row>
    <row r="6">
      <c r="A6" t="inlineStr">
        <is>
          <t>Derived questions / month (active × Q)</t>
        </is>
      </c>
      <c r="B6" s="4">
        <f>Assumptions!B8</f>
        <v/>
      </c>
    </row>
    <row r="7">
      <c r="A7" t="inlineStr">
        <is>
          <t>Narration mix</t>
        </is>
      </c>
      <c r="B7">
        <f>TEXT(Assumptions!B10,"0%")&amp;" with narr / "&amp;TEXT(Assumptions!B11,"0%")&amp;" without"</f>
        <v/>
      </c>
    </row>
    <row r="8">
      <c r="A8" t="inlineStr">
        <is>
          <t>Blended tokens / question</t>
        </is>
      </c>
      <c r="B8" s="5">
        <f>Assumptions!B17</f>
        <v/>
      </c>
    </row>
    <row r="10">
      <c r="A10" s="3" t="inlineStr">
        <is>
          <t>LLM monthly cost @ showcase volume (blended)</t>
        </is>
      </c>
    </row>
    <row r="11">
      <c r="A11" s="6" t="inlineStr">
        <is>
          <t>Tier</t>
        </is>
      </c>
      <c r="B11" s="6" t="inlineStr">
        <is>
          <t>Model</t>
        </is>
      </c>
      <c r="C11" s="6" t="inlineStr">
        <is>
          <t>$/1M tokens</t>
        </is>
      </c>
      <c r="D11" s="6" t="inlineStr">
        <is>
          <t>Monthly blended</t>
        </is>
      </c>
      <c r="E11" s="6" t="inlineStr">
        <is>
          <t>Annual blended</t>
        </is>
      </c>
      <c r="F11" s="6" t="inlineStr">
        <is>
          <t>Q per $1 (no narr)</t>
        </is>
      </c>
    </row>
    <row r="12">
      <c r="A12" s="7" t="inlineStr">
        <is>
          <t>Small</t>
        </is>
      </c>
      <c r="B12" s="7" t="inlineStr">
        <is>
          <t>GPT-5 nano</t>
        </is>
      </c>
      <c r="C12" s="8">
        <f>Assumptions!B20</f>
        <v/>
      </c>
      <c r="D12" s="9">
        <f>Monthly_Volume_Cost!D8</f>
        <v/>
      </c>
      <c r="E12" s="9">
        <f>Monthly_Volume_Cost!E8</f>
        <v/>
      </c>
      <c r="F12" s="10">
        <f>LLM_Unit_Economics!E5</f>
        <v/>
      </c>
    </row>
    <row r="13">
      <c r="A13" s="7" t="inlineStr">
        <is>
          <t>Medium</t>
        </is>
      </c>
      <c r="B13" s="7" t="inlineStr">
        <is>
          <t>GPT-5 mini</t>
        </is>
      </c>
      <c r="C13" s="8">
        <f>Assumptions!B21</f>
        <v/>
      </c>
      <c r="D13" s="9">
        <f>Monthly_Volume_Cost!D9</f>
        <v/>
      </c>
      <c r="E13" s="9">
        <f>Monthly_Volume_Cost!E9</f>
        <v/>
      </c>
      <c r="F13" s="10">
        <f>LLM_Unit_Economics!E6</f>
        <v/>
      </c>
    </row>
    <row r="14">
      <c r="A14" s="7" t="inlineStr">
        <is>
          <t>High</t>
        </is>
      </c>
      <c r="B14" s="7" t="inlineStr">
        <is>
          <t>GPT-5.1</t>
        </is>
      </c>
      <c r="C14" s="8">
        <f>Assumptions!B22</f>
        <v/>
      </c>
      <c r="D14" s="9">
        <f>Monthly_Volume_Cost!D10</f>
        <v/>
      </c>
      <c r="E14" s="9">
        <f>Monthly_Volume_Cost!E10</f>
        <v/>
      </c>
      <c r="F14" s="10">
        <f>LLM_Unit_Economics!E7</f>
        <v/>
      </c>
    </row>
    <row r="16">
      <c r="A16" s="3" t="inlineStr">
        <is>
          <t>Vs classic BI + warehouse (indicative)</t>
        </is>
      </c>
    </row>
    <row r="17">
      <c r="A17" s="6" t="inlineStr">
        <is>
          <t>Path</t>
        </is>
      </c>
      <c r="B17" s="6" t="inlineStr">
        <is>
          <t>Monthly</t>
        </is>
      </c>
      <c r="C17" s="6" t="inlineStr">
        <is>
          <t>Annual</t>
        </is>
      </c>
    </row>
    <row r="18">
      <c r="A18" s="7" t="inlineStr">
        <is>
          <t>Classic BI + Snowflake stack</t>
        </is>
      </c>
      <c r="B18" s="9">
        <f>BI_Warehouse_Compare!B22</f>
        <v/>
      </c>
      <c r="C18" s="9">
        <f>BI_Warehouse_Compare!C22</f>
        <v/>
      </c>
    </row>
    <row r="19">
      <c r="A19" s="7" t="inlineStr">
        <is>
          <t>ASK-DB High blended (showcase)</t>
        </is>
      </c>
      <c r="B19" s="9">
        <f>D14</f>
        <v/>
      </c>
      <c r="C19" s="9">
        <f>E14</f>
        <v/>
      </c>
    </row>
    <row r="20">
      <c r="A20" s="7" t="inlineStr">
        <is>
          <t>ASK-DB Medium blended (showcase)</t>
        </is>
      </c>
      <c r="B20" s="9">
        <f>D13</f>
        <v/>
      </c>
      <c r="C20" s="9">
        <f>E13</f>
        <v/>
      </c>
    </row>
    <row r="22">
      <c r="A22" s="3" t="inlineStr">
        <is>
          <t>Talking points for leadership</t>
        </is>
      </c>
    </row>
    <row r="23">
      <c r="A23" t="inlineStr">
        <is>
          <t>1. SQL-first Chat (no LLM narration) uses ~2,500 tokens/Q — default Insights/Table/Chart path.</t>
        </is>
      </c>
    </row>
    <row r="24">
      <c r="A24" t="inlineStr">
        <is>
          <t>2. Narration chip is opt-in; at High tier + 30k Q, 100% narration ≈ $1,800/mo vs ~$750 at 0% narration.</t>
        </is>
      </c>
    </row>
    <row r="25">
      <c r="A25" t="inlineStr">
        <is>
          <t>3. $1 buys 1M tokens only at $1/1M pricing; nano ($0.20) → 5M tokens/$1; GPT-5.1 ($10) → 100k tokens/$1.</t>
        </is>
      </c>
    </row>
    <row r="26">
      <c r="A26" t="inlineStr">
        <is>
          <t>4. Classic BI cost is mostly fixed seats + warehouse; ASK-DB LLM is usage-based on existing Postgres.</t>
        </is>
      </c>
    </row>
    <row r="27">
      <c r="A27" t="inlineStr">
        <is>
          <t>5. Replace yellow BI/Snowflake placeholders with your enterprise quotes before final business case.</t>
        </is>
      </c>
    </row>
    <row r="28">
      <c r="A28" t="inlineStr">
        <is>
          <t>6. Rates are Capgemini Studio INDICATIVE — confirm against current gateway pricing.</t>
        </is>
      </c>
    </row>
  </sheetData>
  <mergeCells count="7">
    <mergeCell ref="A24:F24"/>
    <mergeCell ref="A2:F2"/>
    <mergeCell ref="A28:F28"/>
    <mergeCell ref="A23:F23"/>
    <mergeCell ref="A27:F27"/>
    <mergeCell ref="A26:F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2" customWidth="1" min="3" max="3"/>
    <col width="20" customWidth="1" min="4" max="4"/>
  </cols>
  <sheetData>
    <row r="1">
      <c r="A1" s="1" t="inlineStr">
        <is>
          <t>ASK-DB · LLM vs BI cost comparison — Assumptions</t>
        </is>
      </c>
    </row>
    <row r="2" ht="48" customHeight="1">
      <c r="A2" s="11" t="inlineStr">
        <is>
          <t>Yellow cells are editable inputs. All other sheets use formulas. Capgemini Studio rates are INDICATIVE for showcase — not contractual invoices. Power BI / Snowflake figures are market placeholders — replace with your quotes.</t>
        </is>
      </c>
    </row>
    <row r="4">
      <c r="A4" s="3" t="inlineStr">
        <is>
          <t>Volume scenario</t>
        </is>
      </c>
    </row>
    <row r="5">
      <c r="A5" s="12" t="inlineStr">
        <is>
          <t>Named users</t>
        </is>
      </c>
      <c r="B5" s="13" t="n">
        <v>50</v>
      </c>
      <c r="C5" s="2" t="inlineStr">
        <is>
          <t>Org seats</t>
        </is>
      </c>
    </row>
    <row r="6">
      <c r="A6" s="12" t="inlineStr">
        <is>
          <t>Active users / month</t>
        </is>
      </c>
      <c r="B6" s="13" t="n">
        <v>45</v>
      </c>
      <c r="C6" s="2" t="inlineStr">
        <is>
          <t>Who actually ask</t>
        </is>
      </c>
    </row>
    <row r="7">
      <c r="A7" s="12" t="inlineStr">
        <is>
          <t>Questions / active user / month</t>
        </is>
      </c>
      <c r="B7" s="13" t="n">
        <v>100</v>
      </c>
      <c r="C7" s="2" t="inlineStr">
        <is>
          <t>Planning figure</t>
        </is>
      </c>
    </row>
    <row r="8">
      <c r="A8" t="inlineStr">
        <is>
          <t>Derived monthly questions (active × Q)</t>
        </is>
      </c>
      <c r="B8" s="4">
        <f>B6*B7</f>
        <v/>
      </c>
      <c r="C8" t="inlineStr">
        <is>
          <t>Secondary scenario (45×100 = 4,500)</t>
        </is>
      </c>
    </row>
    <row r="9">
      <c r="A9" s="12" t="inlineStr">
        <is>
          <t>Showcase monthly questions</t>
        </is>
      </c>
      <c r="B9" s="13" t="n">
        <v>30000</v>
      </c>
      <c r="C9" s="2" t="inlineStr">
        <is>
          <t>Primary slide volume</t>
        </is>
      </c>
    </row>
    <row r="10">
      <c r="A10" s="12" t="inlineStr">
        <is>
          <t>% questions with narration</t>
        </is>
      </c>
      <c r="B10" s="14" t="n">
        <v>0.2</v>
      </c>
      <c r="C10" s="2" t="inlineStr">
        <is>
          <t>LLM narration path</t>
        </is>
      </c>
    </row>
    <row r="11">
      <c r="A11" t="inlineStr">
        <is>
          <t>% questions without narration</t>
        </is>
      </c>
      <c r="B11" s="15">
        <f>1-B10</f>
        <v/>
      </c>
    </row>
    <row r="12">
      <c r="A12" s="12" t="inlineStr">
        <is>
          <t>Months / year</t>
        </is>
      </c>
      <c r="B12" s="13" t="n">
        <v>12</v>
      </c>
    </row>
    <row r="14">
      <c r="A14" s="3" t="inlineStr">
        <is>
          <t>Token assumptions (from config/llm_catalog.py)</t>
        </is>
      </c>
    </row>
    <row r="15">
      <c r="A15" s="12" t="inlineStr">
        <is>
          <t>Tokens / question (no narration)</t>
        </is>
      </c>
      <c r="B15" s="13" t="n">
        <v>2500</v>
      </c>
      <c r="C15" s="2" t="inlineStr">
        <is>
          <t>SQL NLQ path</t>
        </is>
      </c>
    </row>
    <row r="16">
      <c r="A16" s="12" t="inlineStr">
        <is>
          <t>Tokens / question (with narration)</t>
        </is>
      </c>
      <c r="B16" s="13" t="n">
        <v>6000</v>
      </c>
      <c r="C16" s="2" t="inlineStr">
        <is>
          <t>SQL + LLM narration</t>
        </is>
      </c>
    </row>
    <row r="17">
      <c r="A17" t="inlineStr">
        <is>
          <t>Blended tokens / question</t>
        </is>
      </c>
      <c r="B17" s="5">
        <f>B11*B15+B10*B16</f>
        <v/>
      </c>
      <c r="C17" t="inlineStr">
        <is>
          <t>Weighted by narration mix</t>
        </is>
      </c>
    </row>
    <row r="19">
      <c r="A19" s="3" t="inlineStr">
        <is>
          <t>GPT tier rates — USD per 1M tokens (indicative Studio)</t>
        </is>
      </c>
    </row>
    <row r="20">
      <c r="A20" s="12" t="inlineStr">
        <is>
          <t>Small — GPT-5 nano ($/1M)</t>
        </is>
      </c>
      <c r="B20" s="16" t="n">
        <v>0.2</v>
      </c>
      <c r="C20" s="2" t="inlineStr">
        <is>
          <t>openai.gpt-5-nano</t>
        </is>
      </c>
    </row>
    <row r="21">
      <c r="A21" s="12" t="inlineStr">
        <is>
          <t>Medium — GPT-5 mini ($/1M)</t>
        </is>
      </c>
      <c r="B21" s="16" t="n">
        <v>0.8</v>
      </c>
      <c r="C21" s="2" t="inlineStr">
        <is>
          <t>openai.gpt-5-mini</t>
        </is>
      </c>
    </row>
    <row r="22">
      <c r="A22" s="12" t="inlineStr">
        <is>
          <t>High — GPT-5.1 ($/1M)</t>
        </is>
      </c>
      <c r="B22" s="16" t="n">
        <v>10</v>
      </c>
      <c r="C22" s="2" t="inlineStr">
        <is>
          <t>openai.gpt-5.1</t>
        </is>
      </c>
    </row>
    <row r="24">
      <c r="A24" s="3" t="inlineStr">
        <is>
          <t>Classic BI / warehouse placeholders (replace with quotes)</t>
        </is>
      </c>
    </row>
    <row r="25">
      <c r="A25" s="12" t="inlineStr">
        <is>
          <t>Power BI Pro $/user/month</t>
        </is>
      </c>
      <c r="B25" s="16" t="n">
        <v>14</v>
      </c>
      <c r="C25" s="2" t="inlineStr">
        <is>
          <t>Self-serve viz seat</t>
        </is>
      </c>
    </row>
    <row r="26">
      <c r="A26" s="12" t="inlineStr">
        <is>
          <t>Power BI Premium capacity $/month</t>
        </is>
      </c>
      <c r="B26" s="16" t="n">
        <v>5000</v>
      </c>
      <c r="C26" s="2" t="inlineStr">
        <is>
          <t>Optional shared capacity</t>
        </is>
      </c>
    </row>
    <row r="27">
      <c r="A27" s="12" t="inlineStr">
        <is>
          <t>Use Premium instead of Pro? (1=yes,0=no)</t>
        </is>
      </c>
      <c r="B27" s="13" t="n">
        <v>0</v>
      </c>
      <c r="C27" s="2" t="inlineStr">
        <is>
          <t>0 = Pro×users; 1 = Premium only</t>
        </is>
      </c>
    </row>
    <row r="28">
      <c r="A28" s="12" t="inlineStr">
        <is>
          <t>Snowflake compute $/month</t>
        </is>
      </c>
      <c r="B28" s="16" t="n">
        <v>2500</v>
      </c>
      <c r="C28" s="2" t="inlineStr">
        <is>
          <t>Indicative warehouse credits</t>
        </is>
      </c>
    </row>
    <row r="29">
      <c r="A29" s="12" t="inlineStr">
        <is>
          <t>Snowflake storage $/month</t>
        </is>
      </c>
      <c r="B29" s="16" t="n">
        <v>200</v>
      </c>
      <c r="C29" s="2" t="inlineStr">
        <is>
          <t>Indicative storage</t>
        </is>
      </c>
    </row>
    <row r="30">
      <c r="A30" s="12" t="inlineStr">
        <is>
          <t>Dashboard build / maint $/month</t>
        </is>
      </c>
      <c r="B30" s="16" t="n">
        <v>1500</v>
      </c>
      <c r="C30" s="2" t="inlineStr">
        <is>
          <t>Amortized BI build effort</t>
        </is>
      </c>
    </row>
    <row r="32">
      <c r="A32" s="3" t="inlineStr">
        <is>
          <t>Named ranges (cell map)</t>
        </is>
      </c>
    </row>
    <row r="33">
      <c r="A33" s="17" t="inlineStr">
        <is>
          <t>B5 NamedUsers  B6 ActiveUsers  B7 QPerUser  B8 DerivedQ  B9 ShowcaseQ</t>
        </is>
      </c>
    </row>
    <row r="34">
      <c r="A34" s="17" t="inlineStr">
        <is>
          <t>B10 PctNarr  B11 PctNoNarr  B12 Months  B15 TokNoNarr  B16 TokNarr  B17 TokBlend</t>
        </is>
      </c>
    </row>
    <row r="35">
      <c r="A35" s="17" t="inlineStr">
        <is>
          <t>B20 RateSmall  B21 RateMed  B22 RateHigh</t>
        </is>
      </c>
    </row>
    <row r="36">
      <c r="A36" s="17" t="inlineStr">
        <is>
          <t>B25–B30 BI/Snowflake placeholders</t>
        </is>
      </c>
    </row>
    <row r="37">
      <c r="A37" s="17" t="inlineStr">
        <is>
          <t>Note: $1 = 1M tokens ONLY when rate = $1.00/1M. At nano $0.20, $1 buys 5M tokens; at GPT-5.1 $10, $1 buys 100k tokens.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LLM unit economics by GPT tier</t>
        </is>
      </c>
    </row>
    <row r="2">
      <c r="A2" s="2" t="inlineStr">
        <is>
          <t>Formulas reference Assumptions. Cost/Q = tokens × ($/1M) / 1,000,000</t>
        </is>
      </c>
    </row>
    <row r="4">
      <c r="A4" s="6" t="inlineStr">
        <is>
          <t>Tier</t>
        </is>
      </c>
      <c r="B4" s="6" t="inlineStr">
        <is>
          <t>Model</t>
        </is>
      </c>
      <c r="C4" s="6" t="inlineStr">
        <is>
          <t>USD / 1M tokens</t>
        </is>
      </c>
      <c r="D4" s="6" t="inlineStr">
        <is>
          <t>Tokens per $1</t>
        </is>
      </c>
      <c r="E4" s="6" t="inlineStr">
        <is>
          <t>Questions per $1 (no narr)</t>
        </is>
      </c>
      <c r="F4" s="6" t="inlineStr">
        <is>
          <t>Questions per $1 (with narr)</t>
        </is>
      </c>
      <c r="G4" s="6" t="inlineStr">
        <is>
          <t>Cost / Q (no narr)</t>
        </is>
      </c>
      <c r="H4" s="6" t="inlineStr">
        <is>
          <t>Cost / Q (with narr)</t>
        </is>
      </c>
      <c r="I4" s="6" t="inlineStr">
        <is>
          <t>Cost / Q (blended)</t>
        </is>
      </c>
    </row>
    <row r="5">
      <c r="A5" s="7" t="inlineStr">
        <is>
          <t>Small</t>
        </is>
      </c>
      <c r="B5" s="7" t="inlineStr">
        <is>
          <t>GPT-5 nano</t>
        </is>
      </c>
      <c r="C5" s="8">
        <f>Assumptions!B20</f>
        <v/>
      </c>
      <c r="D5" s="10">
        <f>IF(C5=0,0,1000000/C5)</f>
        <v/>
      </c>
      <c r="E5" s="10">
        <f>IF(OR(C5=0,Assumptions!B15=0),0,INT(D5/Assumptions!B15))</f>
        <v/>
      </c>
      <c r="F5" s="10">
        <f>IF(OR(C5=0,Assumptions!B16=0),0,INT(D5/Assumptions!B16))</f>
        <v/>
      </c>
      <c r="G5" s="18">
        <f>Assumptions!B15*C5/1000000</f>
        <v/>
      </c>
      <c r="H5" s="18">
        <f>Assumptions!B16*C5/1000000</f>
        <v/>
      </c>
      <c r="I5" s="18">
        <f>Assumptions!B17*C5/1000000</f>
        <v/>
      </c>
    </row>
    <row r="6">
      <c r="A6" s="7" t="inlineStr">
        <is>
          <t>Medium</t>
        </is>
      </c>
      <c r="B6" s="7" t="inlineStr">
        <is>
          <t>GPT-5 mini</t>
        </is>
      </c>
      <c r="C6" s="8">
        <f>Assumptions!B21</f>
        <v/>
      </c>
      <c r="D6" s="10">
        <f>IF(C6=0,0,1000000/C6)</f>
        <v/>
      </c>
      <c r="E6" s="10">
        <f>IF(OR(C6=0,Assumptions!B15=0),0,INT(D6/Assumptions!B15))</f>
        <v/>
      </c>
      <c r="F6" s="10">
        <f>IF(OR(C6=0,Assumptions!B16=0),0,INT(D6/Assumptions!B16))</f>
        <v/>
      </c>
      <c r="G6" s="18">
        <f>Assumptions!B15*C6/1000000</f>
        <v/>
      </c>
      <c r="H6" s="18">
        <f>Assumptions!B16*C6/1000000</f>
        <v/>
      </c>
      <c r="I6" s="18">
        <f>Assumptions!B17*C6/1000000</f>
        <v/>
      </c>
    </row>
    <row r="7">
      <c r="A7" s="7" t="inlineStr">
        <is>
          <t>High</t>
        </is>
      </c>
      <c r="B7" s="7" t="inlineStr">
        <is>
          <t>GPT-5.1</t>
        </is>
      </c>
      <c r="C7" s="8">
        <f>Assumptions!B22</f>
        <v/>
      </c>
      <c r="D7" s="10">
        <f>IF(C7=0,0,1000000/C7)</f>
        <v/>
      </c>
      <c r="E7" s="10">
        <f>IF(OR(C7=0,Assumptions!B15=0),0,INT(D7/Assumptions!B15))</f>
        <v/>
      </c>
      <c r="F7" s="10">
        <f>IF(OR(C7=0,Assumptions!B16=0),0,INT(D7/Assumptions!B16))</f>
        <v/>
      </c>
      <c r="G7" s="18">
        <f>Assumptions!B15*C7/1000000</f>
        <v/>
      </c>
      <c r="H7" s="18">
        <f>Assumptions!B16*C7/1000000</f>
        <v/>
      </c>
      <c r="I7" s="18">
        <f>Assumptions!B17*C7/1000000</f>
        <v/>
      </c>
    </row>
    <row r="9">
      <c r="A9" s="3" t="inlineStr">
        <is>
          <t>How to read</t>
        </is>
      </c>
    </row>
    <row r="10" ht="40" customHeight="1">
      <c r="A10" s="11" t="inlineStr">
        <is>
          <t>Questions per $1 (no narr) ≈ how many SQL-only Chat answers $1 buys at that tier. Blended uses Assumptions narration mix. Prefer Insights/Table/Chart (no LLM narration) to stay near the no-narration column.</t>
        </is>
      </c>
    </row>
  </sheetData>
  <mergeCells count="1">
    <mergeCell ref="A10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8" customWidth="1" min="4" max="4"/>
    <col width="16" customWidth="1" min="5" max="5"/>
    <col width="22" customWidth="1" min="6" max="6"/>
  </cols>
  <sheetData>
    <row r="1">
      <c r="A1" s="1" t="inlineStr">
        <is>
          <t>Monthly &amp; annual LLM cost by volume scenario</t>
        </is>
      </c>
    </row>
    <row r="2">
      <c r="A2" s="2" t="inlineStr">
        <is>
          <t>Primary showcase = Assumptions!B9 (default 30,000). Secondary = derived active×Q (Assumptions!B8).</t>
        </is>
      </c>
    </row>
    <row r="4">
      <c r="A4" s="3" t="inlineStr">
        <is>
          <t>Scenario A — Showcase volume (primary)</t>
        </is>
      </c>
    </row>
    <row r="5">
      <c r="A5" t="inlineStr">
        <is>
          <t>Monthly questions</t>
        </is>
      </c>
      <c r="B5" s="19">
        <f>Assumptions!B9</f>
        <v/>
      </c>
    </row>
    <row r="7">
      <c r="A7" s="6" t="inlineStr">
        <is>
          <t>Tier</t>
        </is>
      </c>
      <c r="B7" s="6" t="inlineStr">
        <is>
          <t>Monthly 100% no-narr</t>
        </is>
      </c>
      <c r="C7" s="6" t="inlineStr">
        <is>
          <t>Monthly 100% with-narr</t>
        </is>
      </c>
      <c r="D7" s="6" t="inlineStr">
        <is>
          <t>Monthly blended</t>
        </is>
      </c>
      <c r="E7" s="6" t="inlineStr">
        <is>
          <t>Annual blended</t>
        </is>
      </c>
      <c r="F7" s="6" t="inlineStr">
        <is>
          <t>Cost / answered Q (blended)</t>
        </is>
      </c>
    </row>
    <row r="8">
      <c r="A8" s="7" t="inlineStr">
        <is>
          <t>Small</t>
        </is>
      </c>
      <c r="B8" s="9">
        <f>$B$5*Assumptions!$B$15*Assumptions!B20/1000000</f>
        <v/>
      </c>
      <c r="C8" s="9">
        <f>$B$5*Assumptions!$B$16*Assumptions!B20/1000000</f>
        <v/>
      </c>
      <c r="D8" s="9">
        <f>$B$5*Assumptions!$B$17*Assumptions!B20/1000000</f>
        <v/>
      </c>
      <c r="E8" s="9">
        <f>D8*Assumptions!$B$12</f>
        <v/>
      </c>
      <c r="F8" s="18">
        <f>IF($B$5=0,0,D8/$B$5)</f>
        <v/>
      </c>
    </row>
    <row r="9">
      <c r="A9" s="7" t="inlineStr">
        <is>
          <t>Medium</t>
        </is>
      </c>
      <c r="B9" s="9">
        <f>$B$5*Assumptions!$B$15*Assumptions!B21/1000000</f>
        <v/>
      </c>
      <c r="C9" s="9">
        <f>$B$5*Assumptions!$B$16*Assumptions!B21/1000000</f>
        <v/>
      </c>
      <c r="D9" s="9">
        <f>$B$5*Assumptions!$B$17*Assumptions!B21/1000000</f>
        <v/>
      </c>
      <c r="E9" s="9">
        <f>D9*Assumptions!$B$12</f>
        <v/>
      </c>
      <c r="F9" s="18">
        <f>IF($B$5=0,0,D9/$B$5)</f>
        <v/>
      </c>
    </row>
    <row r="10">
      <c r="A10" s="7" t="inlineStr">
        <is>
          <t>High</t>
        </is>
      </c>
      <c r="B10" s="9">
        <f>$B$5*Assumptions!$B$15*Assumptions!B22/1000000</f>
        <v/>
      </c>
      <c r="C10" s="9">
        <f>$B$5*Assumptions!$B$16*Assumptions!B22/1000000</f>
        <v/>
      </c>
      <c r="D10" s="9">
        <f>$B$5*Assumptions!$B$17*Assumptions!B22/1000000</f>
        <v/>
      </c>
      <c r="E10" s="9">
        <f>D10*Assumptions!$B$12</f>
        <v/>
      </c>
      <c r="F10" s="18">
        <f>IF($B$5=0,0,D10/$B$5)</f>
        <v/>
      </c>
    </row>
    <row r="12">
      <c r="A12" s="3" t="inlineStr">
        <is>
          <t>Scenario B — Derived volume (45 × 100)</t>
        </is>
      </c>
    </row>
    <row r="13">
      <c r="A13" t="inlineStr">
        <is>
          <t>Monthly questions</t>
        </is>
      </c>
      <c r="B13" s="4">
        <f>Assumptions!B8</f>
        <v/>
      </c>
    </row>
    <row r="15">
      <c r="A15" s="6" t="inlineStr">
        <is>
          <t>Tier</t>
        </is>
      </c>
      <c r="B15" s="6" t="inlineStr">
        <is>
          <t>Monthly 100% no-narr</t>
        </is>
      </c>
      <c r="C15" s="6" t="inlineStr">
        <is>
          <t>Monthly 100% with-narr</t>
        </is>
      </c>
      <c r="D15" s="6" t="inlineStr">
        <is>
          <t>Monthly blended</t>
        </is>
      </c>
      <c r="E15" s="6" t="inlineStr">
        <is>
          <t>Annual blended</t>
        </is>
      </c>
      <c r="F15" s="6" t="inlineStr">
        <is>
          <t>Cost / answered Q (blended)</t>
        </is>
      </c>
    </row>
    <row r="16">
      <c r="A16" s="7" t="inlineStr">
        <is>
          <t>Small</t>
        </is>
      </c>
      <c r="B16" s="9">
        <f>$B$13*Assumptions!$B$15*Assumptions!B20/1000000</f>
        <v/>
      </c>
      <c r="C16" s="9">
        <f>$B$13*Assumptions!$B$16*Assumptions!B20/1000000</f>
        <v/>
      </c>
      <c r="D16" s="9">
        <f>$B$13*Assumptions!$B$17*Assumptions!B20/1000000</f>
        <v/>
      </c>
      <c r="E16" s="9">
        <f>D16*Assumptions!$B$12</f>
        <v/>
      </c>
      <c r="F16" s="18">
        <f>IF($B$13=0,0,D16/$B$13)</f>
        <v/>
      </c>
    </row>
    <row r="17">
      <c r="A17" s="7" t="inlineStr">
        <is>
          <t>Medium</t>
        </is>
      </c>
      <c r="B17" s="9">
        <f>$B$13*Assumptions!$B$15*Assumptions!B21/1000000</f>
        <v/>
      </c>
      <c r="C17" s="9">
        <f>$B$13*Assumptions!$B$16*Assumptions!B21/1000000</f>
        <v/>
      </c>
      <c r="D17" s="9">
        <f>$B$13*Assumptions!$B$17*Assumptions!B21/1000000</f>
        <v/>
      </c>
      <c r="E17" s="9">
        <f>D17*Assumptions!$B$12</f>
        <v/>
      </c>
      <c r="F17" s="18">
        <f>IF($B$13=0,0,D17/$B$13)</f>
        <v/>
      </c>
    </row>
    <row r="18">
      <c r="A18" s="7" t="inlineStr">
        <is>
          <t>High</t>
        </is>
      </c>
      <c r="B18" s="9">
        <f>$B$13*Assumptions!$B$15*Assumptions!B22/1000000</f>
        <v/>
      </c>
      <c r="C18" s="9">
        <f>$B$13*Assumptions!$B$16*Assumptions!B22/1000000</f>
        <v/>
      </c>
      <c r="D18" s="9">
        <f>$B$13*Assumptions!$B$17*Assumptions!B22/1000000</f>
        <v/>
      </c>
      <c r="E18" s="9">
        <f>D18*Assumptions!$B$12</f>
        <v/>
      </c>
      <c r="F18" s="18">
        <f>IF($B$13=0,0,D18/$B$13)</f>
        <v/>
      </c>
    </row>
    <row r="20">
      <c r="A20" s="3" t="inlineStr">
        <is>
          <t>Sensitivity — High tier @ showcase volume (narration mix)</t>
        </is>
      </c>
    </row>
    <row r="21">
      <c r="A21" s="6" t="inlineStr">
        <is>
          <t>Narration %</t>
        </is>
      </c>
      <c r="B21" s="6" t="inlineStr">
        <is>
          <t>Blended tokens/Q</t>
        </is>
      </c>
      <c r="C21" s="6" t="inlineStr">
        <is>
          <t>Monthly LLM cost</t>
        </is>
      </c>
      <c r="D21" s="6" t="inlineStr">
        <is>
          <t>Annual LLM cost</t>
        </is>
      </c>
    </row>
    <row r="22">
      <c r="A22" s="14" t="n">
        <v>0</v>
      </c>
      <c r="B22" s="8">
        <f>(1-A22)*Assumptions!$B$15+A22*Assumptions!$B$16</f>
        <v/>
      </c>
      <c r="C22" s="9">
        <f>Assumptions!$B$9*B22*Assumptions!$B$22/1000000</f>
        <v/>
      </c>
      <c r="D22" s="9">
        <f>C22*Assumptions!$B$12</f>
        <v/>
      </c>
    </row>
    <row r="23">
      <c r="A23" s="14" t="n">
        <v>0.2</v>
      </c>
      <c r="B23" s="8">
        <f>(1-A23)*Assumptions!$B$15+A23*Assumptions!$B$16</f>
        <v/>
      </c>
      <c r="C23" s="9">
        <f>Assumptions!$B$9*B23*Assumptions!$B$22/1000000</f>
        <v/>
      </c>
      <c r="D23" s="9">
        <f>C23*Assumptions!$B$12</f>
        <v/>
      </c>
    </row>
    <row r="24">
      <c r="A24" s="14" t="n">
        <v>0.5</v>
      </c>
      <c r="B24" s="8">
        <f>(1-A24)*Assumptions!$B$15+A24*Assumptions!$B$16</f>
        <v/>
      </c>
      <c r="C24" s="9">
        <f>Assumptions!$B$9*B24*Assumptions!$B$22/1000000</f>
        <v/>
      </c>
      <c r="D24" s="9">
        <f>C24*Assumptions!$B$12</f>
        <v/>
      </c>
    </row>
    <row r="25">
      <c r="A25" s="14" t="n">
        <v>1</v>
      </c>
      <c r="B25" s="8">
        <f>(1-A25)*Assumptions!$B$15+A25*Assumptions!$B$16</f>
        <v/>
      </c>
      <c r="C25" s="9">
        <f>Assumptions!$B$9*B25*Assumptions!$B$22/1000000</f>
        <v/>
      </c>
      <c r="D25" s="9">
        <f>C25*Assumptions!$B$12</f>
        <v/>
      </c>
    </row>
    <row r="27" ht="36" customHeight="1">
      <c r="A27" s="11" t="inlineStr">
        <is>
          <t>Talking point: at High tier and 30k Q/month, 0% narration ≈ $750/mo; 100% narration ≈ $1,800/mo. Product default (Insights without LLM narration) stays near the low end.</t>
        </is>
      </c>
    </row>
    <row r="29">
      <c r="A29" s="3" t="inlineStr">
        <is>
          <t>Chart data — Showcase blended monthly by tier</t>
        </is>
      </c>
    </row>
    <row r="30">
      <c r="A30" t="inlineStr">
        <is>
          <t>Tier</t>
        </is>
      </c>
      <c r="B30" t="inlineStr">
        <is>
          <t>Monthly blended $</t>
        </is>
      </c>
    </row>
    <row r="31">
      <c r="A31" t="inlineStr">
        <is>
          <t>Small</t>
        </is>
      </c>
      <c r="B31" s="20">
        <f>D8</f>
        <v/>
      </c>
    </row>
    <row r="32">
      <c r="A32" t="inlineStr">
        <is>
          <t>Medium</t>
        </is>
      </c>
      <c r="B32" s="20">
        <f>D9</f>
        <v/>
      </c>
    </row>
    <row r="33">
      <c r="A33" t="inlineStr">
        <is>
          <t>High</t>
        </is>
      </c>
      <c r="B33" s="20">
        <f>D10</f>
        <v/>
      </c>
    </row>
  </sheetData>
  <mergeCells count="1">
    <mergeCell ref="A27:F2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36" customWidth="1" min="4" max="4"/>
  </cols>
  <sheetData>
    <row r="1">
      <c r="A1" s="1" t="inlineStr">
        <is>
          <t>Indicative classic BI / warehouse vs ASK-DB LLM path</t>
        </is>
      </c>
    </row>
    <row r="2" ht="48" customHeight="1">
      <c r="A2" s="11" t="inlineStr">
        <is>
          <t>Not 1:1 feature parity. Classic path = license + warehouse + dashboard effort. ASK-DB path = existing Postgres + usage-based LLM (SQL-first; narration optional). Replace yellow BI/Snowflake placeholders with your quotes.</t>
        </is>
      </c>
    </row>
    <row r="4">
      <c r="A4" s="3" t="inlineStr">
        <is>
          <t>Classic BI + warehouse stack (monthly)</t>
        </is>
      </c>
    </row>
    <row r="5">
      <c r="A5" s="6" t="inlineStr">
        <is>
          <t>Line item</t>
        </is>
      </c>
      <c r="B5" s="6" t="inlineStr">
        <is>
          <t>Monthly USD</t>
        </is>
      </c>
      <c r="C5" s="6" t="inlineStr">
        <is>
          <t>Notes</t>
        </is>
      </c>
    </row>
    <row r="6">
      <c r="A6" s="7" t="inlineStr">
        <is>
          <t>Power BI Pro (users × $/user)</t>
        </is>
      </c>
      <c r="B6" s="9">
        <f>IF(Assumptions!B27=1,0,Assumptions!B5*Assumptions!B25)</f>
        <v/>
      </c>
      <c r="C6" s="7" t="inlineStr">
        <is>
          <t>If Premium flag=1, Pro line is $0</t>
        </is>
      </c>
    </row>
    <row r="7">
      <c r="A7" s="7" t="inlineStr">
        <is>
          <t>Power BI Premium capacity</t>
        </is>
      </c>
      <c r="B7" s="9">
        <f>IF(Assumptions!B27=1,Assumptions!B26,0)</f>
        <v/>
      </c>
      <c r="C7" s="7" t="inlineStr">
        <is>
          <t>Used when Premium flag=1</t>
        </is>
      </c>
    </row>
    <row r="8">
      <c r="A8" s="7" t="inlineStr">
        <is>
          <t>Snowflake compute</t>
        </is>
      </c>
      <c r="B8" s="9">
        <f>Assumptions!B28</f>
        <v/>
      </c>
      <c r="C8" s="7" t="inlineStr">
        <is>
          <t>Indicative credits</t>
        </is>
      </c>
    </row>
    <row r="9">
      <c r="A9" s="7" t="inlineStr">
        <is>
          <t>Snowflake storage</t>
        </is>
      </c>
      <c r="B9" s="9">
        <f>Assumptions!B29</f>
        <v/>
      </c>
      <c r="C9" s="7" t="n"/>
    </row>
    <row r="10">
      <c r="A10" s="7" t="inlineStr">
        <is>
          <t>Dashboard build / maintenance (amortized)</t>
        </is>
      </c>
      <c r="B10" s="9">
        <f>Assumptions!B30</f>
        <v/>
      </c>
      <c r="C10" s="7" t="n"/>
    </row>
    <row r="11">
      <c r="A11" s="21" t="inlineStr">
        <is>
          <t>Classic path TOTAL (monthly)</t>
        </is>
      </c>
      <c r="B11" s="22">
        <f>SUM(B6:B10)</f>
        <v/>
      </c>
      <c r="C11" s="7" t="n"/>
    </row>
    <row r="12">
      <c r="A12" s="7" t="inlineStr">
        <is>
          <t>Classic path TOTAL (annual)</t>
        </is>
      </c>
      <c r="B12" s="9">
        <f>B11*Assumptions!B12</f>
        <v/>
      </c>
      <c r="C12" s="7" t="n"/>
    </row>
    <row r="14">
      <c r="A14" s="3" t="inlineStr">
        <is>
          <t>ASK-DB LLM path (monthly) — showcase volume blended</t>
        </is>
      </c>
    </row>
    <row r="15">
      <c r="A15" s="6" t="inlineStr">
        <is>
          <t>Tier</t>
        </is>
      </c>
      <c r="B15" s="6" t="inlineStr">
        <is>
          <t>LLM monthly (blended @ showcase Q)</t>
        </is>
      </c>
      <c r="C15" s="6" t="inlineStr">
        <is>
          <t>Annual</t>
        </is>
      </c>
      <c r="D15" s="6" t="inlineStr">
        <is>
          <t>Notes</t>
        </is>
      </c>
    </row>
    <row r="16">
      <c r="A16" s="7" t="inlineStr">
        <is>
          <t>Small</t>
        </is>
      </c>
      <c r="B16" s="9">
        <f>Monthly_Volume_Cost!D8</f>
        <v/>
      </c>
      <c r="C16" s="9">
        <f>Monthly_Volume_Cost!E8</f>
        <v/>
      </c>
      <c r="D16" s="7" t="inlineStr">
        <is>
          <t>On existing Postgres — no Snowflake line assumed</t>
        </is>
      </c>
    </row>
    <row r="17">
      <c r="A17" s="7" t="inlineStr">
        <is>
          <t>Medium</t>
        </is>
      </c>
      <c r="B17" s="9">
        <f>Monthly_Volume_Cost!D9</f>
        <v/>
      </c>
      <c r="C17" s="9">
        <f>Monthly_Volume_Cost!E9</f>
        <v/>
      </c>
      <c r="D17" s="7" t="n"/>
    </row>
    <row r="18">
      <c r="A18" s="7" t="inlineStr">
        <is>
          <t>High</t>
        </is>
      </c>
      <c r="B18" s="9">
        <f>Monthly_Volume_Cost!D10</f>
        <v/>
      </c>
      <c r="C18" s="9">
        <f>Monthly_Volume_Cost!E10</f>
        <v/>
      </c>
      <c r="D18" s="7" t="n"/>
    </row>
    <row r="20">
      <c r="A20" s="3" t="inlineStr">
        <is>
          <t>Side-by-side monthly (showcase)</t>
        </is>
      </c>
    </row>
    <row r="21">
      <c r="A21" s="6" t="inlineStr">
        <is>
          <t>Path</t>
        </is>
      </c>
      <c r="B21" s="6" t="inlineStr">
        <is>
          <t>Monthly USD</t>
        </is>
      </c>
      <c r="C21" s="6" t="inlineStr">
        <is>
          <t>Annual USD</t>
        </is>
      </c>
      <c r="D21" s="6" t="inlineStr">
        <is>
          <t>Cost / Q (vs showcase Q)</t>
        </is>
      </c>
    </row>
    <row r="22">
      <c r="A22" s="7" t="inlineStr">
        <is>
          <t>Classic BI + Snowflake stack</t>
        </is>
      </c>
      <c r="B22" s="9">
        <f>B11</f>
        <v/>
      </c>
      <c r="C22" s="9">
        <f>B12</f>
        <v/>
      </c>
      <c r="D22" s="18">
        <f>IF(Assumptions!B9=0,0,B22/Assumptions!B9)</f>
        <v/>
      </c>
    </row>
    <row r="23">
      <c r="A23" s="7" t="inlineStr">
        <is>
          <t>ASK-DB LLM — Small blended</t>
        </is>
      </c>
      <c r="B23" s="9">
        <f>B16</f>
        <v/>
      </c>
      <c r="C23" s="9">
        <f>C16</f>
        <v/>
      </c>
      <c r="D23" s="18">
        <f>IF(Assumptions!B9=0,0,B23/Assumptions!B9)</f>
        <v/>
      </c>
    </row>
    <row r="24">
      <c r="A24" s="7" t="inlineStr">
        <is>
          <t>ASK-DB LLM — Medium blended</t>
        </is>
      </c>
      <c r="B24" s="9">
        <f>B17</f>
        <v/>
      </c>
      <c r="C24" s="9">
        <f>C17</f>
        <v/>
      </c>
      <c r="D24" s="18">
        <f>IF(Assumptions!B9=0,0,B24/Assumptions!B9)</f>
        <v/>
      </c>
    </row>
    <row r="25">
      <c r="A25" s="7" t="inlineStr">
        <is>
          <t>ASK-DB LLM — High blended</t>
        </is>
      </c>
      <c r="B25" s="9">
        <f>B18</f>
        <v/>
      </c>
      <c r="C25" s="9">
        <f>C18</f>
        <v/>
      </c>
      <c r="D25" s="18">
        <f>IF(Assumptions!B9=0,0,B25/Assumptions!B9)</f>
        <v/>
      </c>
    </row>
    <row r="27">
      <c r="A27" t="inlineStr">
        <is>
          <t>Chart data</t>
        </is>
      </c>
    </row>
    <row r="28">
      <c r="A28" t="inlineStr">
        <is>
          <t>Path</t>
        </is>
      </c>
      <c r="B28" t="inlineStr">
        <is>
          <t>Monthly $</t>
        </is>
      </c>
    </row>
    <row r="29">
      <c r="A29" t="inlineStr">
        <is>
          <t>Classic BI+DW</t>
        </is>
      </c>
      <c r="B29" s="20">
        <f>B22</f>
        <v/>
      </c>
    </row>
    <row r="30">
      <c r="A30" t="inlineStr">
        <is>
          <t>ASK-DB Small</t>
        </is>
      </c>
      <c r="B30" s="20">
        <f>B23</f>
        <v/>
      </c>
    </row>
    <row r="31">
      <c r="A31" t="inlineStr">
        <is>
          <t>ASK-DB Medium</t>
        </is>
      </c>
      <c r="B31" s="20">
        <f>B24</f>
        <v/>
      </c>
    </row>
    <row r="32">
      <c r="A32" t="inlineStr">
        <is>
          <t>ASK-DB High</t>
        </is>
      </c>
      <c r="B32" s="20">
        <f>B25</f>
        <v/>
      </c>
    </row>
    <row r="34" ht="48" customHeight="1">
      <c r="A34" s="11" t="inlineStr">
        <is>
          <t>Caveat: Classic stack often still needs a data platform you already pay for; ASK-DB LLM is incremental usage on top of Postgres. If Snowflake is mandatory for other workloads, add it to both sides or keep it as shared corporate cost.</t>
        </is>
      </c>
    </row>
  </sheetData>
  <mergeCells count="2">
    <mergeCell ref="A2:F2"/>
    <mergeCell ref="A34:E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2026-08-25T10:53:40Z</dcterms:created>
  <dcterms:modified xmlns:dcterms="http://purl.org/dc/terms/" xmlns:xsi="http://www.w3.org/2001/XMLSchema-instance" xsi:type="dcterms:W3CDTF">2026-08-25T10:53:40Z</dcterms:modified>
</cp:coreProperties>
</file>