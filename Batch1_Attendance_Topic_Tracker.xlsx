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ai_data_rag\ai_data_v2\"/>
    </mc:Choice>
  </mc:AlternateContent>
  <xr:revisionPtr revIDLastSave="0" documentId="13_ncr:1_{BD19D131-7980-4E18-AA97-FE3B723907EE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00_How_to_use" sheetId="1" state="hidden" r:id="rId1"/>
    <sheet name="01_Roster" sheetId="2" r:id="rId2"/>
    <sheet name="02_Session_Plan" sheetId="3" r:id="rId3"/>
    <sheet name="03_Attendance" sheetId="4" r:id="rId4"/>
    <sheet name="04_Topic_Matrix" sheetId="5" r:id="rId5"/>
    <sheet name="05_Summary" sheetId="6" r:id="rId6"/>
  </sheets>
  <definedNames>
    <definedName name="_xlnm._FilterDatabase" localSheetId="3" hidden="1">'03_Attendance'!$A$7:$Q$15</definedName>
    <definedName name="_xlnm.Print_Titles" localSheetId="0">'00_How_to_use'!$1:$4</definedName>
    <definedName name="_xlnm.Print_Titles" localSheetId="1">'01_Roster'!$1:$4</definedName>
    <definedName name="_xlnm.Print_Titles" localSheetId="2">'02_Session_Plan'!$1:$4</definedName>
    <definedName name="_xlnm.Print_Titles" localSheetId="3">'03_Attendance'!$1:$4</definedName>
    <definedName name="_xlnm.Print_Titles" localSheetId="4">'04_Topic_Matrix'!$1:$4</definedName>
    <definedName name="_xlnm.Print_Titles" localSheetId="5">'05_Summary'!$1:$4</definedName>
  </definedNames>
  <calcPr calcId="191029"/>
</workbook>
</file>

<file path=xl/calcChain.xml><?xml version="1.0" encoding="utf-8"?>
<calcChain xmlns="http://schemas.openxmlformats.org/spreadsheetml/2006/main">
  <c r="O13" i="4" l="1"/>
  <c r="L7" i="4"/>
  <c r="K7" i="4"/>
  <c r="J7" i="4"/>
  <c r="I7" i="4"/>
  <c r="H7" i="4"/>
  <c r="G7" i="4"/>
  <c r="F7" i="4"/>
  <c r="E7" i="4"/>
  <c r="C16" i="3"/>
  <c r="C17" i="3" s="1"/>
  <c r="C14" i="3"/>
  <c r="C15" i="3" s="1"/>
  <c r="C12" i="3"/>
  <c r="C13" i="3" s="1"/>
  <c r="C10" i="3"/>
  <c r="C11" i="3" s="1"/>
  <c r="C9" i="3"/>
  <c r="C8" i="3"/>
  <c r="E14" i="6"/>
  <c r="E13" i="6"/>
  <c r="E12" i="6"/>
  <c r="E11" i="6"/>
  <c r="E10" i="6"/>
  <c r="E9" i="6"/>
  <c r="E8" i="6"/>
  <c r="E7" i="6"/>
  <c r="B6" i="6"/>
  <c r="N17" i="5"/>
  <c r="M17" i="5"/>
  <c r="L17" i="5"/>
  <c r="K17" i="5"/>
  <c r="J17" i="5"/>
  <c r="I17" i="5"/>
  <c r="H17" i="5"/>
  <c r="G17" i="5"/>
  <c r="N16" i="5"/>
  <c r="M16" i="5"/>
  <c r="L16" i="5"/>
  <c r="K16" i="5"/>
  <c r="J16" i="5"/>
  <c r="I16" i="5"/>
  <c r="H16" i="5"/>
  <c r="G16" i="5"/>
  <c r="N15" i="5"/>
  <c r="M15" i="5"/>
  <c r="L15" i="5"/>
  <c r="K15" i="5"/>
  <c r="J15" i="5"/>
  <c r="I15" i="5"/>
  <c r="H15" i="5"/>
  <c r="G15" i="5"/>
  <c r="N14" i="5"/>
  <c r="M14" i="5"/>
  <c r="L14" i="5"/>
  <c r="K14" i="5"/>
  <c r="J14" i="5"/>
  <c r="I14" i="5"/>
  <c r="H14" i="5"/>
  <c r="G14" i="5"/>
  <c r="N13" i="5"/>
  <c r="M13" i="5"/>
  <c r="L13" i="5"/>
  <c r="K13" i="5"/>
  <c r="J13" i="5"/>
  <c r="I13" i="5"/>
  <c r="H13" i="5"/>
  <c r="G13" i="5"/>
  <c r="N12" i="5"/>
  <c r="M12" i="5"/>
  <c r="L12" i="5"/>
  <c r="K12" i="5"/>
  <c r="J12" i="5"/>
  <c r="I12" i="5"/>
  <c r="H12" i="5"/>
  <c r="G12" i="5"/>
  <c r="N11" i="5"/>
  <c r="M11" i="5"/>
  <c r="L11" i="5"/>
  <c r="K11" i="5"/>
  <c r="J11" i="5"/>
  <c r="I11" i="5"/>
  <c r="H11" i="5"/>
  <c r="G11" i="5"/>
  <c r="N10" i="5"/>
  <c r="M10" i="5"/>
  <c r="L10" i="5"/>
  <c r="K10" i="5"/>
  <c r="J10" i="5"/>
  <c r="I10" i="5"/>
  <c r="H10" i="5"/>
  <c r="G10" i="5"/>
  <c r="N9" i="5"/>
  <c r="M9" i="5"/>
  <c r="L9" i="5"/>
  <c r="K9" i="5"/>
  <c r="J9" i="5"/>
  <c r="I9" i="5"/>
  <c r="H9" i="5"/>
  <c r="G9" i="5"/>
  <c r="N8" i="5"/>
  <c r="M8" i="5"/>
  <c r="L8" i="5"/>
  <c r="K8" i="5"/>
  <c r="J8" i="5"/>
  <c r="I8" i="5"/>
  <c r="H8" i="5"/>
  <c r="G8" i="5"/>
  <c r="N7" i="5"/>
  <c r="M7" i="5"/>
  <c r="L7" i="5"/>
  <c r="K7" i="5"/>
  <c r="J7" i="5"/>
  <c r="I7" i="5"/>
  <c r="H7" i="5"/>
  <c r="G7" i="5"/>
  <c r="N6" i="5"/>
  <c r="M6" i="5"/>
  <c r="L6" i="5"/>
  <c r="K6" i="5"/>
  <c r="J6" i="5"/>
  <c r="I6" i="5"/>
  <c r="H6" i="5"/>
  <c r="G6" i="5"/>
  <c r="N5" i="5"/>
  <c r="M5" i="5"/>
  <c r="L5" i="5"/>
  <c r="K5" i="5"/>
  <c r="J5" i="5"/>
  <c r="I5" i="5"/>
  <c r="H5" i="5"/>
  <c r="G5" i="5"/>
  <c r="N16" i="4"/>
  <c r="M16" i="4"/>
  <c r="L16" i="4"/>
  <c r="K16" i="4"/>
  <c r="J16" i="4"/>
  <c r="I16" i="4"/>
  <c r="H16" i="4"/>
  <c r="G16" i="4"/>
  <c r="F16" i="4"/>
  <c r="E16" i="4"/>
  <c r="D16" i="4"/>
  <c r="C16" i="4"/>
  <c r="Q15" i="4"/>
  <c r="F14" i="6" s="1"/>
  <c r="G14" i="6" s="1"/>
  <c r="P15" i="4"/>
  <c r="O15" i="4"/>
  <c r="B15" i="4"/>
  <c r="Q14" i="4"/>
  <c r="F13" i="6" s="1"/>
  <c r="G13" i="6" s="1"/>
  <c r="P14" i="4"/>
  <c r="O14" i="4"/>
  <c r="B14" i="4"/>
  <c r="Q13" i="4"/>
  <c r="F12" i="6" s="1"/>
  <c r="G12" i="6" s="1"/>
  <c r="P13" i="4"/>
  <c r="B13" i="4"/>
  <c r="Q12" i="4"/>
  <c r="F11" i="6" s="1"/>
  <c r="G11" i="6" s="1"/>
  <c r="P12" i="4"/>
  <c r="O12" i="4"/>
  <c r="B12" i="4"/>
  <c r="Q11" i="4"/>
  <c r="F10" i="6" s="1"/>
  <c r="G10" i="6" s="1"/>
  <c r="P11" i="4"/>
  <c r="O11" i="4"/>
  <c r="B11" i="4"/>
  <c r="Q10" i="4"/>
  <c r="F9" i="6" s="1"/>
  <c r="G9" i="6" s="1"/>
  <c r="P10" i="4"/>
  <c r="O10" i="4"/>
  <c r="B10" i="4"/>
  <c r="Q9" i="4"/>
  <c r="F8" i="6" s="1"/>
  <c r="G8" i="6" s="1"/>
  <c r="P9" i="4"/>
  <c r="O9" i="4"/>
  <c r="B9" i="4"/>
  <c r="Q8" i="4"/>
  <c r="P8" i="4"/>
  <c r="O8" i="4"/>
  <c r="B8" i="4"/>
  <c r="H18" i="3"/>
  <c r="B9" i="6" s="1"/>
  <c r="B10" i="6" l="1"/>
  <c r="B11" i="6"/>
  <c r="F7" i="6"/>
  <c r="G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L12" authorId="0" shapeId="0" xr:uid="{FB4A2683-AFD1-44A7-AF5F-6DB3AD0FD7E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Late due to peronal stuff</t>
        </r>
      </text>
    </comment>
  </commentList>
</comments>
</file>

<file path=xl/sharedStrings.xml><?xml version="1.0" encoding="utf-8"?>
<sst xmlns="http://schemas.openxmlformats.org/spreadsheetml/2006/main" count="300" uniqueCount="137">
  <si>
    <t>BATCH 1  ·  HOW TO USE THIS WORKBOOK</t>
  </si>
  <si>
    <t>Keep this file as the single register for weekend Batch 1.</t>
  </si>
  <si>
    <t>Batch 1  ·  Weekend batch (Sat–Sun)  ·  8 members  ·  Attendance + topic tracker</t>
  </si>
  <si>
    <t>Sheet</t>
  </si>
  <si>
    <t>What it is for</t>
  </si>
  <si>
    <t>You type here?</t>
  </si>
  <si>
    <t>01_Roster</t>
  </si>
  <si>
    <t>Batch info and 8 member names. Change names only in column E.</t>
  </si>
  <si>
    <t>Yes — names &amp; meta</t>
  </si>
  <si>
    <t>02_Session_Plan</t>
  </si>
  <si>
    <t>Weekend calendar: topic, sub-topic, lab/activity, hours, status.</t>
  </si>
  <si>
    <t>Yes — topics/status</t>
  </si>
  <si>
    <t>03_Attendance</t>
  </si>
  <si>
    <t>Daily register. Members down the side, dates across. Use the drop-down.</t>
  </si>
  <si>
    <t>Yes — P / A / L / E</t>
  </si>
  <si>
    <t>04_Topic_Matrix</t>
  </si>
  <si>
    <t>Same marks, pivoted as topic rows × member columns (your original layout, cleaned).</t>
  </si>
  <si>
    <t>No — linked</t>
  </si>
  <si>
    <t>05_Summary</t>
  </si>
  <si>
    <t>Attendance % , standing (Excellent / Good / Watch / At risk), and a chart.</t>
  </si>
  <si>
    <t>Marking: P Present · A Absent · L Late (still counts as present) · E Excused (not absent).
Dates included: every Saturday &amp; Sunday from 22-Aug-2026 to 27-Sep-2026 (12 sessions / 6 weekends).
Topics follow a Cloud → Azure → ADF → Databricks → Synapse path, matching your sample (Cloud types, ADF Copy). Replace Member 01–08 and tutor name on the Roster. Add more date columns only if you also extend the Session Plan.</t>
  </si>
  <si>
    <t>BATCH 1  ·  CLASS ROSTER</t>
  </si>
  <si>
    <t>Update names once here. Attendance and summary sheets pick them up automatically.</t>
  </si>
  <si>
    <t>BATCH DETAILS</t>
  </si>
  <si>
    <t>MEMBERS  (edit names in column E)</t>
  </si>
  <si>
    <t>Batch name</t>
  </si>
  <si>
    <t>Batch 1</t>
  </si>
  <si>
    <t>Sr</t>
  </si>
  <si>
    <t>Full name</t>
  </si>
  <si>
    <t>Contact / notes</t>
  </si>
  <si>
    <t>Mode</t>
  </si>
  <si>
    <t>Weekend (Saturday &amp; Sunday)</t>
  </si>
  <si>
    <t>Strength</t>
  </si>
  <si>
    <t>Tutor</t>
  </si>
  <si>
    <t>Start date</t>
  </si>
  <si>
    <t>Venue / platform</t>
  </si>
  <si>
    <t>To be filled</t>
  </si>
  <si>
    <t>Timing</t>
  </si>
  <si>
    <t>To be filled (e.g. 10:00–13:00)</t>
  </si>
  <si>
    <t>Marking key</t>
  </si>
  <si>
    <t>P = Present   A = Absent   L = Late   E = Excused</t>
  </si>
  <si>
    <t>Tip: Type actual student names in E7:E14. Do not insert/delete rows in that block — other sheets are linked to these cells.</t>
  </si>
  <si>
    <t>BATCH 1  ·  SESSION PLAN</t>
  </si>
  <si>
    <t>Topic-wise weekend calendar. Update status after each class.</t>
  </si>
  <si>
    <t>Week</t>
  </si>
  <si>
    <t>Date</t>
  </si>
  <si>
    <t>Day</t>
  </si>
  <si>
    <t>Topic</t>
  </si>
  <si>
    <t>Sub-topic</t>
  </si>
  <si>
    <t>Activity / lab</t>
  </si>
  <si>
    <t>Hrs</t>
  </si>
  <si>
    <t>Status</t>
  </si>
  <si>
    <t>Saturday</t>
  </si>
  <si>
    <t>Introduction to Cloud</t>
  </si>
  <si>
    <t>Why Cloud, IaaS / PaaS / SaaS</t>
  </si>
  <si>
    <t>Concept + Q&amp;A</t>
  </si>
  <si>
    <t>Completed</t>
  </si>
  <si>
    <t>Sunday</t>
  </si>
  <si>
    <t>Public / Private / Hybrid / Multi-cloud</t>
  </si>
  <si>
    <t>Concept + comparison table</t>
  </si>
  <si>
    <t>Azure Fundamentals</t>
  </si>
  <si>
    <t>Subscriptions, Resource Groups, Regions</t>
  </si>
  <si>
    <t>Portal walkthrough</t>
  </si>
  <si>
    <t>Azure Storage</t>
  </si>
  <si>
    <t>Blob, ADLS Gen2, containers</t>
  </si>
  <si>
    <t>Lab: create storage + upload</t>
  </si>
  <si>
    <t>Azure Data Factory</t>
  </si>
  <si>
    <t>ADF overview, linked services, datasets</t>
  </si>
  <si>
    <t>Demo</t>
  </si>
  <si>
    <t>Copy Activity (file → ADLS / SQL)</t>
  </si>
  <si>
    <t>Lab: Copy pipeline</t>
  </si>
  <si>
    <t>Pipelines, triggers, parameters</t>
  </si>
  <si>
    <t>Lab: scheduled copy</t>
  </si>
  <si>
    <t>Planned</t>
  </si>
  <si>
    <t>Mapping Data Flows (intro)</t>
  </si>
  <si>
    <t>Demo + practice</t>
  </si>
  <si>
    <t>Azure Databricks</t>
  </si>
  <si>
    <t>Workspace, clusters, notebooks</t>
  </si>
  <si>
    <t>Lab: Spark notebook</t>
  </si>
  <si>
    <t>Read / write ADLS, Delta basics</t>
  </si>
  <si>
    <t>Lab: bronze table</t>
  </si>
  <si>
    <t>Azure Synapse / SQL</t>
  </si>
  <si>
    <t>Dedicated vs serverless, load patterns</t>
  </si>
  <si>
    <t>Lab: COPY INTO</t>
  </si>
  <si>
    <t>End-to-end recap</t>
  </si>
  <si>
    <t>Ingest → store → transform</t>
  </si>
  <si>
    <t>Mini project + doubt clearing</t>
  </si>
  <si>
    <t>Total scheduled hours</t>
  </si>
  <si>
    <t>BATCH 1  ·  DAILY ATTENDANCE</t>
  </si>
  <si>
    <t>Mark P / A / L / E under each weekend date. Names come from the Roster sheet.</t>
  </si>
  <si>
    <t>Week 1</t>
  </si>
  <si>
    <t>Week 2</t>
  </si>
  <si>
    <t>Week 3</t>
  </si>
  <si>
    <t>Week 4</t>
  </si>
  <si>
    <t>Week 5</t>
  </si>
  <si>
    <t>Week 6</t>
  </si>
  <si>
    <t>Name</t>
  </si>
  <si>
    <t>Present</t>
  </si>
  <si>
    <t>Absent</t>
  </si>
  <si>
    <t>%</t>
  </si>
  <si>
    <t>Present count (P+L)</t>
  </si>
  <si>
    <t>Legend:  P = Present (green)    A = Absent (red)    L = Late (amber, counted present)    E = Excused (blue, not treated as absent)    % = (P+L+E) ÷ marked sessions — blank future dates are ignored</t>
  </si>
  <si>
    <t>BATCH 1  ·  TOPIC-WISE ATTENDANCE MATRIX</t>
  </si>
  <si>
    <t>One row per class. Member columns are linked to the daily attendance sheet — do not type here.</t>
  </si>
  <si>
    <t>Activity</t>
  </si>
  <si>
    <t>BATCH 1  ·  ATTENDANCE SUMMARY</t>
  </si>
  <si>
    <t>Auto-calculated from daily marks. Refresh after you fill the Attendance sheet.</t>
  </si>
  <si>
    <t>KPI</t>
  </si>
  <si>
    <t>Value</t>
  </si>
  <si>
    <t>MEMBER STANDING</t>
  </si>
  <si>
    <t>Attendance %</t>
  </si>
  <si>
    <t>Standing</t>
  </si>
  <si>
    <t>Members</t>
  </si>
  <si>
    <t>Weekend sessions</t>
  </si>
  <si>
    <t>Planned hours</t>
  </si>
  <si>
    <t>Class avg attendance</t>
  </si>
  <si>
    <t>Below 75% (count)</t>
  </si>
  <si>
    <t>How to use
1. Roster — type the 8 names.
2. Session Plan — adjust topics/tutor if needed; set Status after class.
3. Attendance — each weekend, drop-down P / A / L / E. That is the only sheet you mark.
4. Topic Matrix and Summary update by formula. Print Attendance or Topic Matrix in landscape A4.</t>
  </si>
  <si>
    <t>Amit K</t>
  </si>
  <si>
    <t>Chandru</t>
  </si>
  <si>
    <t>Vishal U</t>
  </si>
  <si>
    <t>Vinay G</t>
  </si>
  <si>
    <t>Meghna</t>
  </si>
  <si>
    <t>Dhaya</t>
  </si>
  <si>
    <t>Rahul T</t>
  </si>
  <si>
    <t>Pradeep P</t>
  </si>
  <si>
    <t>P</t>
  </si>
  <si>
    <t>A</t>
  </si>
  <si>
    <t>Azure Fundamentals/Azure Storage</t>
  </si>
  <si>
    <t>SQL Basic</t>
  </si>
  <si>
    <t>Select, Where, Having</t>
  </si>
  <si>
    <t>Joins</t>
  </si>
  <si>
    <t>SQL Adavcance</t>
  </si>
  <si>
    <t>Holiday</t>
  </si>
  <si>
    <t>Cancelled</t>
  </si>
  <si>
    <t>L</t>
  </si>
  <si>
    <t>Test &amp; ADF Assignment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</si>
</sst>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2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2"/>
      <color rgb="FFD8EDE9"/>
      <name val="Calibri"/>
    </font>
    <font>
      <i/>
      <sz val="10"/>
      <color rgb="FFB8D4CE"/>
      <name val="Calibri"/>
    </font>
    <font>
      <b/>
      <sz val="11"/>
      <color rgb="FFFFFFFF"/>
      <name val="Calibri"/>
    </font>
    <font>
      <b/>
      <sz val="11"/>
      <color rgb="FF264653"/>
      <name val="Calibri"/>
    </font>
    <font>
      <sz val="11"/>
      <color rgb="FF264653"/>
      <name val="Calibri"/>
    </font>
    <font>
      <sz val="9"/>
      <color rgb="FF546E7A"/>
      <name val="Calibri"/>
    </font>
    <font>
      <b/>
      <sz val="11"/>
      <color rgb="FF2E7D32"/>
      <name val="Calibri"/>
    </font>
    <font>
      <b/>
      <sz val="11"/>
      <color rgb="FFF57F17"/>
      <name val="Calibri"/>
    </font>
    <font>
      <b/>
      <sz val="9"/>
      <color rgb="FFFFFFFF"/>
      <name val="Calibri"/>
    </font>
    <font>
      <b/>
      <sz val="8"/>
      <color rgb="FF1B3A4B"/>
      <name val="Calibri"/>
    </font>
    <font>
      <b/>
      <sz val="12"/>
      <color rgb="FF264653"/>
      <name val="Calibri"/>
    </font>
    <font>
      <b/>
      <sz val="12"/>
      <name val="Calibri"/>
    </font>
    <font>
      <sz val="10"/>
      <color rgb="FF264653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1"/>
      <color rgb="FF26465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1B3A4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4" fillId="0" borderId="0" xfId="0" applyFont="1"/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inden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8" fontId="6" fillId="0" borderId="0" xfId="0" applyNumberFormat="1" applyFont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9" fontId="5" fillId="0" borderId="0" xfId="1" applyFont="1" applyAlignment="1">
      <alignment horizontal="center" vertical="center" wrapText="1"/>
    </xf>
    <xf numFmtId="9" fontId="6" fillId="0" borderId="0" xfId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ont>
        <b/>
        <sz val="11"/>
        <color rgb="FFC62828"/>
        <name val="Calibri"/>
      </font>
      <fill>
        <patternFill patternType="solid">
          <fgColor rgb="FFFFCDD2"/>
        </patternFill>
      </fill>
    </dxf>
    <dxf>
      <font>
        <b/>
        <sz val="11"/>
        <color rgb="FFF57F17"/>
        <name val="Calibri"/>
      </font>
      <fill>
        <patternFill patternType="solid">
          <fgColor rgb="FFFFF9C4"/>
        </patternFill>
      </fill>
    </dxf>
    <dxf>
      <font>
        <b/>
        <sz val="11"/>
        <color rgb="FF558B2F"/>
        <name val="Calibri"/>
      </font>
      <fill>
        <patternFill patternType="solid">
          <fgColor rgb="FFDCEDC8"/>
        </patternFill>
      </fill>
    </dxf>
    <dxf>
      <font>
        <b/>
        <sz val="11"/>
        <color rgb="FF2E7D32"/>
        <name val="Calibri"/>
      </font>
      <fill>
        <patternFill patternType="solid">
          <fgColor rgb="FFC8E6C9"/>
        </patternFill>
      </fill>
    </dxf>
    <dxf>
      <font>
        <b/>
        <sz val="12"/>
        <color rgb="FF1565C0"/>
        <name val="Calibri"/>
      </font>
      <fill>
        <patternFill patternType="solid">
          <fgColor rgb="FFBBDEFB"/>
        </patternFill>
      </fill>
    </dxf>
    <dxf>
      <font>
        <b/>
        <sz val="12"/>
        <color rgb="FFF57F17"/>
        <name val="Calibri"/>
      </font>
      <fill>
        <patternFill patternType="solid">
          <fgColor rgb="FFFFF9C4"/>
        </patternFill>
      </fill>
    </dxf>
    <dxf>
      <font>
        <b/>
        <sz val="12"/>
        <color rgb="FFC62828"/>
        <name val="Calibri"/>
      </font>
      <fill>
        <patternFill patternType="solid">
          <fgColor rgb="FFFFCDD2"/>
        </patternFill>
      </fill>
    </dxf>
    <dxf>
      <font>
        <b/>
        <sz val="12"/>
        <color rgb="FF2E7D32"/>
        <name val="Calibri"/>
      </font>
      <fill>
        <patternFill patternType="solid">
          <fgColor rgb="FFC8E6C9"/>
        </patternFill>
      </fill>
    </dxf>
    <dxf>
      <font>
        <b/>
        <sz val="12"/>
        <color rgb="FF1565C0"/>
        <name val="Calibri"/>
      </font>
      <fill>
        <patternFill patternType="solid">
          <fgColor rgb="FFBBDEFB"/>
        </patternFill>
      </fill>
    </dxf>
    <dxf>
      <font>
        <b/>
        <sz val="12"/>
        <color rgb="FFF57F17"/>
        <name val="Calibri"/>
      </font>
      <fill>
        <patternFill patternType="solid">
          <fgColor rgb="FFFFF9C4"/>
        </patternFill>
      </fill>
    </dxf>
    <dxf>
      <font>
        <b/>
        <sz val="12"/>
        <color rgb="FFC62828"/>
        <name val="Calibri"/>
      </font>
      <fill>
        <patternFill patternType="solid">
          <fgColor rgb="FFFFCDD2"/>
        </patternFill>
      </fill>
    </dxf>
    <dxf>
      <font>
        <b/>
        <sz val="12"/>
        <color rgb="FF2E7D32"/>
        <name val="Calibri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Attendance % by member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'05_Summary'!$F$6</c:f>
              <c:strCache>
                <c:ptCount val="1"/>
                <c:pt idx="0">
                  <c:v>Attendance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'05_Summary'!$E$7:$E$14</c:f>
              <c:strCache>
                <c:ptCount val="8"/>
                <c:pt idx="0">
                  <c:v>Amit K</c:v>
                </c:pt>
                <c:pt idx="1">
                  <c:v>Chandru</c:v>
                </c:pt>
                <c:pt idx="2">
                  <c:v>Vishal U</c:v>
                </c:pt>
                <c:pt idx="3">
                  <c:v>Vinay G</c:v>
                </c:pt>
                <c:pt idx="4">
                  <c:v>Meghna</c:v>
                </c:pt>
                <c:pt idx="5">
                  <c:v>Dhaya</c:v>
                </c:pt>
                <c:pt idx="6">
                  <c:v>Rahul T</c:v>
                </c:pt>
                <c:pt idx="7">
                  <c:v>Pradeep P</c:v>
                </c:pt>
              </c:strCache>
            </c:strRef>
          </c:cat>
          <c:val>
            <c:numRef>
              <c:f>'05_Summary'!$F$7:$F$14</c:f>
              <c:numCache>
                <c:formatCode>0%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F-43AF-8D9B-F4FF3D0E2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  <pageSetUpPr fitToPage="1"/>
  </sheetPr>
  <dimension ref="A1:F14"/>
  <sheetViews>
    <sheetView showGridLines="0" workbookViewId="0">
      <selection sqref="A1:F1"/>
    </sheetView>
  </sheetViews>
  <sheetFormatPr defaultRowHeight="14.4" x14ac:dyDescent="0.3"/>
  <cols>
    <col min="1" max="1" width="4" customWidth="1"/>
    <col min="2" max="2" width="22" customWidth="1"/>
    <col min="3" max="3" width="70" customWidth="1"/>
    <col min="4" max="4" width="18" customWidth="1"/>
  </cols>
  <sheetData>
    <row r="1" spans="1:6" ht="28.05" customHeight="1" x14ac:dyDescent="0.3">
      <c r="A1" s="15" t="s">
        <v>0</v>
      </c>
      <c r="B1" s="13"/>
      <c r="C1" s="13"/>
      <c r="D1" s="13"/>
      <c r="E1" s="13"/>
      <c r="F1" s="13"/>
    </row>
    <row r="2" spans="1:6" ht="18" customHeight="1" x14ac:dyDescent="0.3">
      <c r="A2" s="14" t="s">
        <v>1</v>
      </c>
      <c r="B2" s="13"/>
      <c r="C2" s="13"/>
      <c r="D2" s="13"/>
      <c r="E2" s="13"/>
      <c r="F2" s="13"/>
    </row>
    <row r="3" spans="1:6" ht="18" customHeight="1" x14ac:dyDescent="0.3">
      <c r="A3" s="12" t="s">
        <v>2</v>
      </c>
      <c r="B3" s="13"/>
      <c r="C3" s="13"/>
      <c r="D3" s="13"/>
      <c r="E3" s="13"/>
      <c r="F3" s="13"/>
    </row>
    <row r="5" spans="1:6" x14ac:dyDescent="0.3">
      <c r="B5" s="1" t="s">
        <v>3</v>
      </c>
      <c r="C5" s="1" t="s">
        <v>4</v>
      </c>
      <c r="D5" s="1" t="s">
        <v>5</v>
      </c>
    </row>
    <row r="6" spans="1:6" ht="28.05" customHeight="1" x14ac:dyDescent="0.3">
      <c r="B6" s="2" t="s">
        <v>6</v>
      </c>
      <c r="C6" s="3" t="s">
        <v>7</v>
      </c>
      <c r="D6" s="3" t="s">
        <v>8</v>
      </c>
    </row>
    <row r="7" spans="1:6" ht="28.05" customHeight="1" x14ac:dyDescent="0.3">
      <c r="B7" s="2" t="s">
        <v>9</v>
      </c>
      <c r="C7" s="3" t="s">
        <v>10</v>
      </c>
      <c r="D7" s="3" t="s">
        <v>11</v>
      </c>
    </row>
    <row r="8" spans="1:6" ht="28.05" customHeight="1" x14ac:dyDescent="0.3">
      <c r="B8" s="2" t="s">
        <v>12</v>
      </c>
      <c r="C8" s="3" t="s">
        <v>13</v>
      </c>
      <c r="D8" s="3" t="s">
        <v>14</v>
      </c>
    </row>
    <row r="9" spans="1:6" ht="28.05" customHeight="1" x14ac:dyDescent="0.3">
      <c r="B9" s="2" t="s">
        <v>15</v>
      </c>
      <c r="C9" s="3" t="s">
        <v>16</v>
      </c>
      <c r="D9" s="3" t="s">
        <v>17</v>
      </c>
    </row>
    <row r="10" spans="1:6" ht="28.05" customHeight="1" x14ac:dyDescent="0.3">
      <c r="B10" s="2" t="s">
        <v>18</v>
      </c>
      <c r="C10" s="3" t="s">
        <v>19</v>
      </c>
      <c r="D10" s="3" t="s">
        <v>17</v>
      </c>
    </row>
    <row r="12" spans="1:6" ht="19.95" customHeight="1" x14ac:dyDescent="0.3">
      <c r="B12" s="16" t="s">
        <v>20</v>
      </c>
      <c r="C12" s="13"/>
      <c r="D12" s="13"/>
    </row>
    <row r="13" spans="1:6" x14ac:dyDescent="0.3">
      <c r="B13" s="13"/>
      <c r="C13" s="13"/>
      <c r="D13" s="13"/>
    </row>
    <row r="14" spans="1:6" x14ac:dyDescent="0.3">
      <c r="B14" s="13"/>
      <c r="C14" s="13"/>
      <c r="D14" s="13"/>
    </row>
  </sheetData>
  <mergeCells count="4">
    <mergeCell ref="A3:F3"/>
    <mergeCell ref="A2:F2"/>
    <mergeCell ref="A1:F1"/>
    <mergeCell ref="B12:D14"/>
  </mergeCells>
  <pageMargins left="0.4" right="0.4" top="0.5" bottom="0.5" header="0.2" footer="0.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9D8F"/>
    <pageSetUpPr fitToPage="1"/>
  </sheetPr>
  <dimension ref="A1:F16"/>
  <sheetViews>
    <sheetView showGridLines="0" workbookViewId="0">
      <selection activeCell="B13" sqref="B13"/>
    </sheetView>
  </sheetViews>
  <sheetFormatPr defaultRowHeight="14.4" x14ac:dyDescent="0.3"/>
  <cols>
    <col min="1" max="1" width="22" customWidth="1"/>
    <col min="2" max="2" width="42" customWidth="1"/>
    <col min="3" max="3" width="4" customWidth="1"/>
    <col min="4" max="4" width="8" customWidth="1"/>
    <col min="5" max="6" width="28" customWidth="1"/>
  </cols>
  <sheetData>
    <row r="1" spans="1:6" ht="28.05" customHeight="1" x14ac:dyDescent="0.3">
      <c r="A1" s="15" t="s">
        <v>21</v>
      </c>
      <c r="B1" s="13"/>
      <c r="C1" s="13"/>
      <c r="D1" s="13"/>
      <c r="E1" s="13"/>
      <c r="F1" s="13"/>
    </row>
    <row r="2" spans="1:6" ht="18" customHeight="1" x14ac:dyDescent="0.3">
      <c r="A2" s="14" t="s">
        <v>22</v>
      </c>
      <c r="B2" s="13"/>
      <c r="C2" s="13"/>
      <c r="D2" s="13"/>
      <c r="E2" s="13"/>
      <c r="F2" s="13"/>
    </row>
    <row r="3" spans="1:6" ht="18" customHeight="1" x14ac:dyDescent="0.3">
      <c r="A3" s="12" t="s">
        <v>2</v>
      </c>
      <c r="B3" s="13"/>
      <c r="C3" s="13"/>
      <c r="D3" s="13"/>
      <c r="E3" s="13"/>
      <c r="F3" s="13"/>
    </row>
    <row r="5" spans="1:6" x14ac:dyDescent="0.3">
      <c r="A5" s="19" t="s">
        <v>23</v>
      </c>
      <c r="B5" s="13"/>
      <c r="D5" s="17" t="s">
        <v>24</v>
      </c>
      <c r="E5" s="13"/>
      <c r="F5" s="13"/>
    </row>
    <row r="6" spans="1:6" ht="22.05" customHeight="1" x14ac:dyDescent="0.3">
      <c r="A6" s="2" t="s">
        <v>25</v>
      </c>
      <c r="B6" s="3" t="s">
        <v>26</v>
      </c>
      <c r="D6" s="1" t="s">
        <v>27</v>
      </c>
      <c r="E6" s="1" t="s">
        <v>28</v>
      </c>
      <c r="F6" s="1" t="s">
        <v>29</v>
      </c>
    </row>
    <row r="7" spans="1:6" x14ac:dyDescent="0.3">
      <c r="A7" s="2" t="s">
        <v>30</v>
      </c>
      <c r="B7" s="3" t="s">
        <v>31</v>
      </c>
      <c r="D7" s="4">
        <v>1</v>
      </c>
      <c r="E7" s="3" t="s">
        <v>118</v>
      </c>
      <c r="F7" s="3"/>
    </row>
    <row r="8" spans="1:6" x14ac:dyDescent="0.3">
      <c r="A8" s="2" t="s">
        <v>32</v>
      </c>
      <c r="B8" s="3">
        <v>8</v>
      </c>
      <c r="D8" s="4">
        <v>2</v>
      </c>
      <c r="E8" s="3" t="s">
        <v>119</v>
      </c>
      <c r="F8" s="3"/>
    </row>
    <row r="9" spans="1:6" x14ac:dyDescent="0.3">
      <c r="A9" s="2" t="s">
        <v>33</v>
      </c>
      <c r="B9" s="3" t="s">
        <v>33</v>
      </c>
      <c r="D9" s="4">
        <v>3</v>
      </c>
      <c r="E9" s="3" t="s">
        <v>120</v>
      </c>
      <c r="F9" s="3"/>
    </row>
    <row r="10" spans="1:6" x14ac:dyDescent="0.3">
      <c r="A10" s="2" t="s">
        <v>34</v>
      </c>
      <c r="B10" s="3">
        <v>46256</v>
      </c>
      <c r="D10" s="4">
        <v>4</v>
      </c>
      <c r="E10" s="3" t="s">
        <v>121</v>
      </c>
      <c r="F10" s="3"/>
    </row>
    <row r="11" spans="1:6" x14ac:dyDescent="0.3">
      <c r="A11" s="2" t="s">
        <v>35</v>
      </c>
      <c r="B11" s="3" t="s">
        <v>36</v>
      </c>
      <c r="D11" s="4">
        <v>5</v>
      </c>
      <c r="E11" s="3" t="s">
        <v>122</v>
      </c>
      <c r="F11" s="3"/>
    </row>
    <row r="12" spans="1:6" x14ac:dyDescent="0.3">
      <c r="A12" s="2" t="s">
        <v>37</v>
      </c>
      <c r="B12" s="3" t="s">
        <v>38</v>
      </c>
      <c r="D12" s="4">
        <v>6</v>
      </c>
      <c r="E12" s="3" t="s">
        <v>123</v>
      </c>
      <c r="F12" s="3"/>
    </row>
    <row r="13" spans="1:6" x14ac:dyDescent="0.3">
      <c r="A13" s="2" t="s">
        <v>39</v>
      </c>
      <c r="B13" s="3" t="s">
        <v>40</v>
      </c>
      <c r="D13" s="4">
        <v>7</v>
      </c>
      <c r="E13" s="3" t="s">
        <v>124</v>
      </c>
      <c r="F13" s="3"/>
    </row>
    <row r="14" spans="1:6" x14ac:dyDescent="0.3">
      <c r="D14" s="4">
        <v>8</v>
      </c>
      <c r="E14" s="3" t="s">
        <v>125</v>
      </c>
      <c r="F14" s="3"/>
    </row>
    <row r="15" spans="1:6" x14ac:dyDescent="0.3">
      <c r="A15" s="18" t="s">
        <v>41</v>
      </c>
      <c r="B15" s="13"/>
    </row>
    <row r="16" spans="1:6" x14ac:dyDescent="0.3">
      <c r="A16" s="13"/>
      <c r="B16" s="13"/>
    </row>
  </sheetData>
  <mergeCells count="6">
    <mergeCell ref="A2:F2"/>
    <mergeCell ref="D5:F5"/>
    <mergeCell ref="A15:B16"/>
    <mergeCell ref="A1:F1"/>
    <mergeCell ref="A5:B5"/>
    <mergeCell ref="A3:F3"/>
  </mergeCells>
  <pageMargins left="0.4" right="0.4" top="0.5" bottom="0.5" header="0.2" footer="0.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C46A"/>
    <pageSetUpPr fitToPage="1"/>
  </sheetPr>
  <dimension ref="A1:I18"/>
  <sheetViews>
    <sheetView showGridLines="0" workbookViewId="0">
      <pane ySplit="5" topLeftCell="A6" activePane="bottomLeft" state="frozen"/>
      <selection pane="bottomLeft" activeCell="E16" sqref="E16"/>
    </sheetView>
  </sheetViews>
  <sheetFormatPr defaultRowHeight="14.4" x14ac:dyDescent="0.3"/>
  <cols>
    <col min="1" max="1" width="6" customWidth="1"/>
    <col min="2" max="2" width="8" customWidth="1"/>
    <col min="3" max="3" width="16.88671875" customWidth="1"/>
    <col min="4" max="4" width="12" customWidth="1"/>
    <col min="5" max="5" width="26" customWidth="1"/>
    <col min="6" max="6" width="42" customWidth="1"/>
    <col min="7" max="7" width="32" customWidth="1"/>
    <col min="8" max="8" width="8" customWidth="1"/>
    <col min="9" max="9" width="14" customWidth="1"/>
  </cols>
  <sheetData>
    <row r="1" spans="1:9" ht="28.05" customHeight="1" x14ac:dyDescent="0.3">
      <c r="A1" s="15" t="s">
        <v>42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3">
      <c r="A2" s="14" t="s">
        <v>43</v>
      </c>
      <c r="B2" s="13"/>
      <c r="C2" s="13"/>
      <c r="D2" s="13"/>
      <c r="E2" s="13"/>
      <c r="F2" s="13"/>
      <c r="G2" s="13"/>
      <c r="H2" s="13"/>
      <c r="I2" s="13"/>
    </row>
    <row r="3" spans="1:9" ht="18" customHeigh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</row>
    <row r="5" spans="1:9" ht="24" customHeight="1" x14ac:dyDescent="0.3">
      <c r="A5" s="1" t="s">
        <v>27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</row>
    <row r="6" spans="1:9" ht="22.05" customHeight="1" x14ac:dyDescent="0.3">
      <c r="A6" s="5">
        <v>1</v>
      </c>
      <c r="B6" s="5">
        <v>1</v>
      </c>
      <c r="C6" s="24">
        <v>46256</v>
      </c>
      <c r="D6" s="5" t="s">
        <v>52</v>
      </c>
      <c r="E6" s="3" t="s">
        <v>53</v>
      </c>
      <c r="F6" s="3" t="s">
        <v>54</v>
      </c>
      <c r="G6" s="3" t="s">
        <v>55</v>
      </c>
      <c r="H6" s="5">
        <v>3</v>
      </c>
      <c r="I6" s="6" t="s">
        <v>56</v>
      </c>
    </row>
    <row r="7" spans="1:9" ht="22.05" customHeight="1" x14ac:dyDescent="0.3">
      <c r="A7" s="5">
        <v>2</v>
      </c>
      <c r="B7" s="5">
        <v>1</v>
      </c>
      <c r="C7" s="24">
        <v>46257</v>
      </c>
      <c r="D7" s="5" t="s">
        <v>57</v>
      </c>
      <c r="E7" s="3" t="s">
        <v>53</v>
      </c>
      <c r="F7" s="3" t="s">
        <v>58</v>
      </c>
      <c r="G7" s="3" t="s">
        <v>59</v>
      </c>
      <c r="H7" s="5">
        <v>3</v>
      </c>
      <c r="I7" s="6" t="s">
        <v>56</v>
      </c>
    </row>
    <row r="8" spans="1:9" ht="22.05" customHeight="1" x14ac:dyDescent="0.3">
      <c r="A8" s="5">
        <v>3</v>
      </c>
      <c r="B8" s="5">
        <v>2</v>
      </c>
      <c r="C8" s="24">
        <f>C6+7</f>
        <v>46263</v>
      </c>
      <c r="D8" s="5" t="s">
        <v>52</v>
      </c>
      <c r="E8" s="30" t="s">
        <v>128</v>
      </c>
      <c r="F8" s="3" t="s">
        <v>61</v>
      </c>
      <c r="G8" s="3" t="s">
        <v>62</v>
      </c>
      <c r="H8" s="5">
        <v>3</v>
      </c>
      <c r="I8" s="6" t="s">
        <v>56</v>
      </c>
    </row>
    <row r="9" spans="1:9" ht="22.05" customHeight="1" x14ac:dyDescent="0.3">
      <c r="A9" s="5">
        <v>4</v>
      </c>
      <c r="B9" s="5">
        <v>2</v>
      </c>
      <c r="C9" s="24">
        <f>C8+1</f>
        <v>46264</v>
      </c>
      <c r="D9" s="5" t="s">
        <v>57</v>
      </c>
      <c r="E9" s="3" t="s">
        <v>66</v>
      </c>
      <c r="F9" s="3" t="s">
        <v>64</v>
      </c>
      <c r="G9" s="3" t="s">
        <v>65</v>
      </c>
      <c r="H9" s="5">
        <v>3</v>
      </c>
      <c r="I9" s="6" t="s">
        <v>56</v>
      </c>
    </row>
    <row r="10" spans="1:9" ht="22.05" customHeight="1" x14ac:dyDescent="0.3">
      <c r="A10" s="5">
        <v>5</v>
      </c>
      <c r="B10" s="5">
        <v>3</v>
      </c>
      <c r="C10" s="24">
        <f>C8+7</f>
        <v>46270</v>
      </c>
      <c r="D10" s="5" t="s">
        <v>52</v>
      </c>
      <c r="E10" s="3" t="s">
        <v>66</v>
      </c>
      <c r="F10" s="3" t="s">
        <v>67</v>
      </c>
      <c r="G10" s="3" t="s">
        <v>68</v>
      </c>
      <c r="H10" s="5">
        <v>3</v>
      </c>
      <c r="I10" s="6" t="s">
        <v>56</v>
      </c>
    </row>
    <row r="11" spans="1:9" ht="22.05" customHeight="1" x14ac:dyDescent="0.3">
      <c r="A11" s="5">
        <v>6</v>
      </c>
      <c r="B11" s="5">
        <v>3</v>
      </c>
      <c r="C11" s="24">
        <f>C10+1</f>
        <v>46271</v>
      </c>
      <c r="D11" s="5" t="s">
        <v>57</v>
      </c>
      <c r="E11" s="3" t="s">
        <v>66</v>
      </c>
      <c r="F11" s="3" t="s">
        <v>69</v>
      </c>
      <c r="G11" s="3" t="s">
        <v>70</v>
      </c>
      <c r="H11" s="5">
        <v>3</v>
      </c>
      <c r="I11" s="6" t="s">
        <v>56</v>
      </c>
    </row>
    <row r="12" spans="1:9" ht="22.05" customHeight="1" x14ac:dyDescent="0.3">
      <c r="A12" s="5">
        <v>7</v>
      </c>
      <c r="B12" s="5">
        <v>4</v>
      </c>
      <c r="C12" s="24">
        <f>C10+7</f>
        <v>46277</v>
      </c>
      <c r="D12" s="5" t="s">
        <v>52</v>
      </c>
      <c r="E12" s="3" t="s">
        <v>66</v>
      </c>
      <c r="F12" s="30" t="s">
        <v>136</v>
      </c>
      <c r="G12" s="3" t="s">
        <v>72</v>
      </c>
      <c r="H12" s="5">
        <v>3</v>
      </c>
      <c r="I12" s="6" t="s">
        <v>56</v>
      </c>
    </row>
    <row r="13" spans="1:9" ht="22.05" customHeight="1" x14ac:dyDescent="0.3">
      <c r="A13" s="5">
        <v>8</v>
      </c>
      <c r="B13" s="5">
        <v>4</v>
      </c>
      <c r="C13" s="24">
        <f>C12+1</f>
        <v>46278</v>
      </c>
      <c r="D13" s="5" t="s">
        <v>57</v>
      </c>
      <c r="E13" s="30" t="s">
        <v>133</v>
      </c>
      <c r="F13" s="30" t="s">
        <v>133</v>
      </c>
      <c r="G13" s="30" t="s">
        <v>133</v>
      </c>
      <c r="H13" s="5">
        <v>3</v>
      </c>
      <c r="I13" s="7" t="s">
        <v>134</v>
      </c>
    </row>
    <row r="14" spans="1:9" ht="22.05" customHeight="1" x14ac:dyDescent="0.3">
      <c r="A14" s="5">
        <v>9</v>
      </c>
      <c r="B14" s="5">
        <v>5</v>
      </c>
      <c r="C14" s="24">
        <f>C12+7</f>
        <v>46284</v>
      </c>
      <c r="D14" s="5" t="s">
        <v>52</v>
      </c>
      <c r="E14" s="30" t="s">
        <v>129</v>
      </c>
      <c r="F14" s="30" t="s">
        <v>130</v>
      </c>
      <c r="G14" s="3" t="s">
        <v>78</v>
      </c>
      <c r="H14" s="5">
        <v>3</v>
      </c>
      <c r="I14" s="6" t="s">
        <v>56</v>
      </c>
    </row>
    <row r="15" spans="1:9" ht="22.05" customHeight="1" x14ac:dyDescent="0.3">
      <c r="A15" s="5">
        <v>10</v>
      </c>
      <c r="B15" s="5">
        <v>5</v>
      </c>
      <c r="C15" s="24">
        <f>C14+1</f>
        <v>46285</v>
      </c>
      <c r="D15" s="5" t="s">
        <v>57</v>
      </c>
      <c r="E15" s="30" t="s">
        <v>132</v>
      </c>
      <c r="F15" s="30" t="s">
        <v>131</v>
      </c>
      <c r="G15" s="3" t="s">
        <v>80</v>
      </c>
      <c r="H15" s="5">
        <v>3</v>
      </c>
      <c r="I15" s="6" t="s">
        <v>73</v>
      </c>
    </row>
    <row r="16" spans="1:9" ht="22.05" customHeight="1" x14ac:dyDescent="0.3">
      <c r="A16" s="5">
        <v>11</v>
      </c>
      <c r="B16" s="5">
        <v>6</v>
      </c>
      <c r="C16" s="24">
        <f>C14+7</f>
        <v>46291</v>
      </c>
      <c r="D16" s="5" t="s">
        <v>52</v>
      </c>
      <c r="E16" s="3" t="s">
        <v>76</v>
      </c>
      <c r="F16" s="3" t="s">
        <v>82</v>
      </c>
      <c r="G16" s="3" t="s">
        <v>83</v>
      </c>
      <c r="H16" s="5">
        <v>3</v>
      </c>
      <c r="I16" s="7" t="s">
        <v>73</v>
      </c>
    </row>
    <row r="17" spans="1:9" ht="22.05" customHeight="1" x14ac:dyDescent="0.3">
      <c r="A17" s="5">
        <v>12</v>
      </c>
      <c r="B17" s="5">
        <v>6</v>
      </c>
      <c r="C17" s="24">
        <f>C16+1</f>
        <v>46292</v>
      </c>
      <c r="D17" s="5" t="s">
        <v>57</v>
      </c>
      <c r="E17" s="3" t="s">
        <v>84</v>
      </c>
      <c r="F17" s="3" t="s">
        <v>85</v>
      </c>
      <c r="G17" s="3" t="s">
        <v>86</v>
      </c>
      <c r="H17" s="5">
        <v>3</v>
      </c>
      <c r="I17" s="7" t="s">
        <v>73</v>
      </c>
    </row>
    <row r="18" spans="1:9" x14ac:dyDescent="0.3">
      <c r="A18" s="20" t="s">
        <v>87</v>
      </c>
      <c r="B18" s="13"/>
      <c r="C18" s="13"/>
      <c r="D18" s="13"/>
      <c r="E18" s="13"/>
      <c r="F18" s="13"/>
      <c r="G18" s="13"/>
      <c r="H18" s="1">
        <f>SUM(H6:H17)</f>
        <v>36</v>
      </c>
    </row>
  </sheetData>
  <mergeCells count="4">
    <mergeCell ref="A1:I1"/>
    <mergeCell ref="A3:I3"/>
    <mergeCell ref="A2:I2"/>
    <mergeCell ref="A18:G18"/>
  </mergeCells>
  <dataValidations count="1">
    <dataValidation type="list" errorTitle="Invalid status" error="Choose a status from the list" sqref="I6:I17" xr:uid="{00000000-0002-0000-0200-000000000000}">
      <formula1>"Planned,Completed,Rescheduled,Cancelled"</formula1>
    </dataValidation>
  </dataValidations>
  <pageMargins left="0.4" right="0.4" top="0.5" bottom="0.5" header="0.2" footer="0.2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  <pageSetUpPr fitToPage="1"/>
  </sheetPr>
  <dimension ref="A1:R18"/>
  <sheetViews>
    <sheetView showGridLines="0" tabSelected="1" workbookViewId="0">
      <pane xSplit="2" ySplit="7" topLeftCell="C10" activePane="bottomRight" state="frozen"/>
      <selection pane="topRight"/>
      <selection pane="bottomLeft"/>
      <selection pane="bottomRight" activeCell="F14" sqref="F14"/>
    </sheetView>
  </sheetViews>
  <sheetFormatPr defaultRowHeight="14.4" x14ac:dyDescent="0.3"/>
  <cols>
    <col min="1" max="1" width="6" customWidth="1"/>
    <col min="2" max="2" width="22" customWidth="1"/>
    <col min="3" max="14" width="12" customWidth="1"/>
    <col min="15" max="17" width="11" customWidth="1"/>
  </cols>
  <sheetData>
    <row r="1" spans="1:18" ht="28.05" customHeight="1" x14ac:dyDescent="0.3">
      <c r="A1" s="15" t="s">
        <v>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8" customHeight="1" x14ac:dyDescent="0.3">
      <c r="A2" s="14" t="s">
        <v>89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8" customHeigh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5" spans="1:18" ht="19.95" customHeight="1" x14ac:dyDescent="0.3">
      <c r="A5" s="13"/>
      <c r="B5" s="13"/>
      <c r="C5" s="21" t="s">
        <v>90</v>
      </c>
      <c r="D5" s="13"/>
      <c r="E5" s="21" t="s">
        <v>91</v>
      </c>
      <c r="F5" s="13"/>
      <c r="G5" s="21" t="s">
        <v>92</v>
      </c>
      <c r="H5" s="13"/>
      <c r="I5" s="21" t="s">
        <v>93</v>
      </c>
      <c r="J5" s="13"/>
      <c r="K5" s="21" t="s">
        <v>94</v>
      </c>
      <c r="L5" s="13"/>
      <c r="M5" s="21" t="s">
        <v>95</v>
      </c>
      <c r="N5" s="13"/>
      <c r="O5" s="13"/>
      <c r="P5" s="13"/>
      <c r="Q5" s="13"/>
    </row>
    <row r="6" spans="1:18" ht="31.95" customHeight="1" x14ac:dyDescent="0.3">
      <c r="A6" s="13"/>
      <c r="B6" s="13"/>
      <c r="C6" s="8" t="s">
        <v>53</v>
      </c>
      <c r="D6" s="8" t="s">
        <v>53</v>
      </c>
      <c r="E6" s="8" t="s">
        <v>60</v>
      </c>
      <c r="F6" s="8" t="s">
        <v>63</v>
      </c>
      <c r="G6" s="8" t="s">
        <v>66</v>
      </c>
      <c r="H6" s="8" t="s">
        <v>66</v>
      </c>
      <c r="I6" s="8" t="s">
        <v>66</v>
      </c>
      <c r="J6" s="33" t="s">
        <v>133</v>
      </c>
      <c r="K6" s="33" t="s">
        <v>129</v>
      </c>
      <c r="L6" s="33" t="s">
        <v>129</v>
      </c>
      <c r="M6" s="8" t="s">
        <v>81</v>
      </c>
      <c r="N6" s="8" t="s">
        <v>84</v>
      </c>
      <c r="O6" s="13"/>
      <c r="P6" s="13"/>
      <c r="Q6" s="13"/>
    </row>
    <row r="7" spans="1:18" ht="31.95" customHeight="1" x14ac:dyDescent="0.3">
      <c r="A7" s="1" t="s">
        <v>27</v>
      </c>
      <c r="B7" s="1" t="s">
        <v>96</v>
      </c>
      <c r="C7" s="25">
        <v>46256</v>
      </c>
      <c r="D7" s="25">
        <v>46257</v>
      </c>
      <c r="E7" s="25">
        <f>C7+7</f>
        <v>46263</v>
      </c>
      <c r="F7" s="25">
        <f>D7+7</f>
        <v>46264</v>
      </c>
      <c r="G7" s="25">
        <f>E7+7</f>
        <v>46270</v>
      </c>
      <c r="H7" s="25">
        <f>F7+7</f>
        <v>46271</v>
      </c>
      <c r="I7" s="25">
        <f>G7+7</f>
        <v>46277</v>
      </c>
      <c r="J7" s="25">
        <f>H7+7</f>
        <v>46278</v>
      </c>
      <c r="K7" s="25">
        <f>I7+7</f>
        <v>46284</v>
      </c>
      <c r="L7" s="25">
        <f>J7+7</f>
        <v>46285</v>
      </c>
      <c r="M7" s="26">
        <v>46291</v>
      </c>
      <c r="N7" s="26">
        <v>46292</v>
      </c>
      <c r="O7" s="26" t="s">
        <v>97</v>
      </c>
      <c r="P7" s="26" t="s">
        <v>98</v>
      </c>
      <c r="Q7" s="26" t="s">
        <v>99</v>
      </c>
    </row>
    <row r="8" spans="1:18" ht="22.05" customHeight="1" x14ac:dyDescent="0.3">
      <c r="A8" s="4">
        <v>1</v>
      </c>
      <c r="B8" s="3" t="str">
        <f>'01_Roster'!E7</f>
        <v>Amit K</v>
      </c>
      <c r="C8" s="9" t="s">
        <v>126</v>
      </c>
      <c r="D8" s="9" t="s">
        <v>126</v>
      </c>
      <c r="E8" s="9" t="s">
        <v>126</v>
      </c>
      <c r="F8" s="9" t="s">
        <v>126</v>
      </c>
      <c r="G8" s="9" t="s">
        <v>126</v>
      </c>
      <c r="H8" s="9" t="s">
        <v>126</v>
      </c>
      <c r="I8" s="9" t="s">
        <v>126</v>
      </c>
      <c r="J8" s="9" t="s">
        <v>126</v>
      </c>
      <c r="K8" s="9" t="s">
        <v>126</v>
      </c>
      <c r="L8" s="9" t="s">
        <v>126</v>
      </c>
      <c r="M8" s="9"/>
      <c r="N8" s="9"/>
      <c r="O8" s="4">
        <f t="shared" ref="O8:O15" si="0">COUNTIF(C8:N8,"P")+COUNTIF(C8:N8,"L")</f>
        <v>10</v>
      </c>
      <c r="P8" s="4">
        <f t="shared" ref="P8:P15" si="1">COUNTIF(C8:N8,"A")</f>
        <v>0</v>
      </c>
      <c r="Q8" s="27">
        <f t="shared" ref="Q8:Q15" si="2">IF((COUNTA(C8:N8))=0,"",(COUNTIF(C8:N8,"P")+COUNTIF(C8:N8,"L")+COUNTIF(C8:N8,"E"))/COUNTA(C8:N8))</f>
        <v>1</v>
      </c>
    </row>
    <row r="9" spans="1:18" ht="22.05" customHeight="1" x14ac:dyDescent="0.3">
      <c r="A9" s="4">
        <v>2</v>
      </c>
      <c r="B9" s="3" t="str">
        <f>'01_Roster'!E8</f>
        <v>Chandru</v>
      </c>
      <c r="C9" s="9" t="s">
        <v>126</v>
      </c>
      <c r="D9" s="9" t="s">
        <v>126</v>
      </c>
      <c r="E9" s="9" t="s">
        <v>126</v>
      </c>
      <c r="F9" s="9" t="s">
        <v>126</v>
      </c>
      <c r="G9" s="9" t="s">
        <v>126</v>
      </c>
      <c r="H9" s="9" t="s">
        <v>126</v>
      </c>
      <c r="I9" s="9" t="s">
        <v>126</v>
      </c>
      <c r="J9" s="9" t="s">
        <v>126</v>
      </c>
      <c r="K9" s="9" t="s">
        <v>127</v>
      </c>
      <c r="L9" s="9" t="s">
        <v>126</v>
      </c>
      <c r="M9" s="9"/>
      <c r="N9" s="9"/>
      <c r="O9" s="4">
        <f t="shared" si="0"/>
        <v>9</v>
      </c>
      <c r="P9" s="4">
        <f t="shared" si="1"/>
        <v>1</v>
      </c>
      <c r="Q9" s="27">
        <f t="shared" si="2"/>
        <v>0.9</v>
      </c>
    </row>
    <row r="10" spans="1:18" ht="22.05" customHeight="1" x14ac:dyDescent="0.3">
      <c r="A10" s="4">
        <v>3</v>
      </c>
      <c r="B10" s="3" t="str">
        <f>'01_Roster'!E9</f>
        <v>Vishal U</v>
      </c>
      <c r="C10" s="9" t="s">
        <v>126</v>
      </c>
      <c r="D10" s="9" t="s">
        <v>126</v>
      </c>
      <c r="E10" s="9" t="s">
        <v>126</v>
      </c>
      <c r="F10" s="9" t="s">
        <v>126</v>
      </c>
      <c r="G10" s="9" t="s">
        <v>126</v>
      </c>
      <c r="H10" s="9" t="s">
        <v>126</v>
      </c>
      <c r="I10" s="9" t="s">
        <v>126</v>
      </c>
      <c r="J10" s="31" t="s">
        <v>126</v>
      </c>
      <c r="K10" s="9" t="s">
        <v>126</v>
      </c>
      <c r="L10" s="9" t="s">
        <v>126</v>
      </c>
      <c r="M10" s="9"/>
      <c r="N10" s="9"/>
      <c r="O10" s="4">
        <f t="shared" si="0"/>
        <v>10</v>
      </c>
      <c r="P10" s="4">
        <f t="shared" si="1"/>
        <v>0</v>
      </c>
      <c r="Q10" s="27">
        <f t="shared" si="2"/>
        <v>1</v>
      </c>
    </row>
    <row r="11" spans="1:18" ht="22.05" customHeight="1" x14ac:dyDescent="0.3">
      <c r="A11" s="4">
        <v>4</v>
      </c>
      <c r="B11" s="3" t="str">
        <f>'01_Roster'!E10</f>
        <v>Vinay G</v>
      </c>
      <c r="C11" s="9" t="s">
        <v>126</v>
      </c>
      <c r="D11" s="9" t="s">
        <v>126</v>
      </c>
      <c r="E11" s="9" t="s">
        <v>126</v>
      </c>
      <c r="F11" s="9" t="s">
        <v>126</v>
      </c>
      <c r="G11" s="9" t="s">
        <v>126</v>
      </c>
      <c r="H11" s="9" t="s">
        <v>126</v>
      </c>
      <c r="I11" s="9" t="s">
        <v>126</v>
      </c>
      <c r="J11" s="31" t="s">
        <v>126</v>
      </c>
      <c r="K11" s="9" t="s">
        <v>126</v>
      </c>
      <c r="L11" s="9" t="s">
        <v>126</v>
      </c>
      <c r="M11" s="9"/>
      <c r="N11" s="9"/>
      <c r="O11" s="4">
        <f t="shared" si="0"/>
        <v>10</v>
      </c>
      <c r="P11" s="4">
        <f t="shared" si="1"/>
        <v>0</v>
      </c>
      <c r="Q11" s="27">
        <f t="shared" si="2"/>
        <v>1</v>
      </c>
    </row>
    <row r="12" spans="1:18" ht="22.05" customHeight="1" x14ac:dyDescent="0.3">
      <c r="A12" s="4">
        <v>5</v>
      </c>
      <c r="B12" s="3" t="str">
        <f>'01_Roster'!E11</f>
        <v>Meghna</v>
      </c>
      <c r="C12" s="9" t="s">
        <v>126</v>
      </c>
      <c r="D12" s="9" t="s">
        <v>126</v>
      </c>
      <c r="E12" s="9" t="s">
        <v>126</v>
      </c>
      <c r="F12" s="9" t="s">
        <v>126</v>
      </c>
      <c r="G12" s="9" t="s">
        <v>126</v>
      </c>
      <c r="H12" s="9" t="s">
        <v>126</v>
      </c>
      <c r="I12" s="9" t="s">
        <v>126</v>
      </c>
      <c r="J12" s="31" t="s">
        <v>126</v>
      </c>
      <c r="K12" s="9" t="s">
        <v>126</v>
      </c>
      <c r="L12" s="9" t="s">
        <v>135</v>
      </c>
      <c r="M12" s="9"/>
      <c r="N12" s="9"/>
      <c r="O12" s="4">
        <f t="shared" si="0"/>
        <v>10</v>
      </c>
      <c r="P12" s="4">
        <f t="shared" si="1"/>
        <v>0</v>
      </c>
      <c r="Q12" s="27">
        <f t="shared" si="2"/>
        <v>1</v>
      </c>
    </row>
    <row r="13" spans="1:18" ht="22.05" customHeight="1" x14ac:dyDescent="0.3">
      <c r="A13" s="4">
        <v>6</v>
      </c>
      <c r="B13" s="3" t="str">
        <f>'01_Roster'!E12</f>
        <v>Dhaya</v>
      </c>
      <c r="C13" s="9"/>
      <c r="D13" s="9"/>
      <c r="E13" s="9"/>
      <c r="F13" s="9"/>
      <c r="G13" s="9"/>
      <c r="H13" s="9"/>
      <c r="I13" s="9"/>
      <c r="J13" s="31"/>
      <c r="K13" s="9" t="s">
        <v>126</v>
      </c>
      <c r="L13" s="9" t="s">
        <v>126</v>
      </c>
      <c r="M13" s="9"/>
      <c r="N13" s="9"/>
      <c r="O13" s="4">
        <f>COUNTIF(C13:N13,"P")+COUNTIF(C13:N13,"L")</f>
        <v>2</v>
      </c>
      <c r="P13" s="4">
        <f t="shared" si="1"/>
        <v>0</v>
      </c>
      <c r="Q13" s="27">
        <f t="shared" si="2"/>
        <v>1</v>
      </c>
    </row>
    <row r="14" spans="1:18" ht="22.05" customHeight="1" x14ac:dyDescent="0.3">
      <c r="A14" s="4">
        <v>7</v>
      </c>
      <c r="B14" s="3" t="str">
        <f>'01_Roster'!E13</f>
        <v>Rahul T</v>
      </c>
      <c r="C14" s="9" t="s">
        <v>126</v>
      </c>
      <c r="D14" s="9" t="s">
        <v>126</v>
      </c>
      <c r="E14" s="9" t="s">
        <v>126</v>
      </c>
      <c r="F14" s="9" t="s">
        <v>126</v>
      </c>
      <c r="G14" s="9" t="s">
        <v>126</v>
      </c>
      <c r="H14" s="9" t="s">
        <v>126</v>
      </c>
      <c r="I14" s="9" t="s">
        <v>126</v>
      </c>
      <c r="J14" s="31" t="s">
        <v>126</v>
      </c>
      <c r="K14" s="9" t="s">
        <v>126</v>
      </c>
      <c r="L14" s="9" t="s">
        <v>126</v>
      </c>
      <c r="M14" s="9"/>
      <c r="N14" s="9"/>
      <c r="O14" s="4">
        <f t="shared" si="0"/>
        <v>10</v>
      </c>
      <c r="P14" s="4">
        <f t="shared" si="1"/>
        <v>0</v>
      </c>
      <c r="Q14" s="27">
        <f t="shared" si="2"/>
        <v>1</v>
      </c>
    </row>
    <row r="15" spans="1:18" ht="22.05" customHeight="1" x14ac:dyDescent="0.3">
      <c r="A15" s="4">
        <v>8</v>
      </c>
      <c r="B15" s="3" t="str">
        <f>'01_Roster'!E14</f>
        <v>Pradeep P</v>
      </c>
      <c r="C15" s="9" t="s">
        <v>126</v>
      </c>
      <c r="D15" s="9" t="s">
        <v>126</v>
      </c>
      <c r="E15" s="9" t="s">
        <v>126</v>
      </c>
      <c r="F15" s="9" t="s">
        <v>126</v>
      </c>
      <c r="G15" s="9" t="s">
        <v>126</v>
      </c>
      <c r="H15" s="9" t="s">
        <v>126</v>
      </c>
      <c r="I15" s="9" t="s">
        <v>127</v>
      </c>
      <c r="J15" s="31" t="s">
        <v>126</v>
      </c>
      <c r="K15" s="9" t="s">
        <v>126</v>
      </c>
      <c r="L15" s="9" t="s">
        <v>126</v>
      </c>
      <c r="M15" s="9"/>
      <c r="N15" s="9"/>
      <c r="O15" s="4">
        <f t="shared" si="0"/>
        <v>9</v>
      </c>
      <c r="P15" s="4">
        <f t="shared" si="1"/>
        <v>1</v>
      </c>
      <c r="Q15" s="27">
        <f t="shared" si="2"/>
        <v>0.9</v>
      </c>
    </row>
    <row r="16" spans="1:18" x14ac:dyDescent="0.3">
      <c r="A16" s="20" t="s">
        <v>100</v>
      </c>
      <c r="B16" s="13"/>
      <c r="C16" s="1">
        <f t="shared" ref="C16:N16" si="3">COUNTIF(C8:C15,"P")+COUNTIF(C8:C15,"L")</f>
        <v>7</v>
      </c>
      <c r="D16" s="1">
        <f t="shared" si="3"/>
        <v>7</v>
      </c>
      <c r="E16" s="1">
        <f t="shared" si="3"/>
        <v>7</v>
      </c>
      <c r="F16" s="1">
        <f t="shared" si="3"/>
        <v>7</v>
      </c>
      <c r="G16" s="1">
        <f t="shared" si="3"/>
        <v>7</v>
      </c>
      <c r="H16" s="1">
        <f t="shared" si="3"/>
        <v>7</v>
      </c>
      <c r="I16" s="1">
        <f t="shared" si="3"/>
        <v>6</v>
      </c>
      <c r="J16" s="32">
        <f t="shared" si="3"/>
        <v>7</v>
      </c>
      <c r="K16" s="1">
        <f t="shared" si="3"/>
        <v>7</v>
      </c>
      <c r="L16" s="1">
        <f t="shared" si="3"/>
        <v>8</v>
      </c>
      <c r="M16" s="1">
        <f t="shared" si="3"/>
        <v>0</v>
      </c>
      <c r="N16" s="1">
        <f t="shared" si="3"/>
        <v>0</v>
      </c>
    </row>
    <row r="18" spans="1:6" ht="33.6" customHeight="1" x14ac:dyDescent="0.3">
      <c r="A18" s="22" t="s">
        <v>101</v>
      </c>
      <c r="B18" s="13"/>
      <c r="C18" s="13"/>
      <c r="D18" s="13"/>
      <c r="E18" s="13"/>
      <c r="F18" s="13"/>
    </row>
  </sheetData>
  <autoFilter ref="A7:Q15" xr:uid="{00000000-0009-0000-0000-000003000000}"/>
  <mergeCells count="16">
    <mergeCell ref="A1:R1"/>
    <mergeCell ref="M5:N5"/>
    <mergeCell ref="A18:F18"/>
    <mergeCell ref="B5:B6"/>
    <mergeCell ref="A16:B16"/>
    <mergeCell ref="A2:R2"/>
    <mergeCell ref="C5:D5"/>
    <mergeCell ref="G5:H5"/>
    <mergeCell ref="E5:F5"/>
    <mergeCell ref="K5:L5"/>
    <mergeCell ref="I5:J5"/>
    <mergeCell ref="A5:A6"/>
    <mergeCell ref="A3:R3"/>
    <mergeCell ref="O5:O6"/>
    <mergeCell ref="P5:P6"/>
    <mergeCell ref="Q5:Q6"/>
  </mergeCells>
  <conditionalFormatting sqref="C8:N15">
    <cfRule type="cellIs" dxfId="11" priority="1" operator="equal">
      <formula>"P"</formula>
    </cfRule>
    <cfRule type="cellIs" dxfId="10" priority="2" operator="equal">
      <formula>"A"</formula>
    </cfRule>
    <cfRule type="cellIs" dxfId="9" priority="3" operator="equal">
      <formula>"L"</formula>
    </cfRule>
    <cfRule type="cellIs" dxfId="8" priority="4" operator="equal">
      <formula>"E"</formula>
    </cfRule>
  </conditionalFormatting>
  <conditionalFormatting sqref="Q8:Q15">
    <cfRule type="colorScale" priority="5">
      <colorScale>
        <cfvo type="num" val="0.5"/>
        <cfvo type="num" val="0.8"/>
        <cfvo type="num" val="1"/>
        <color rgb="FFFFCDD2"/>
        <color rgb="FFFFF9C4"/>
        <color rgb="FFC8E6C9"/>
      </colorScale>
    </cfRule>
  </conditionalFormatting>
  <dataValidations count="2">
    <dataValidation type="list" allowBlank="1" promptTitle="Mark attendance" prompt="P Present · A Absent · L Late · E Excused" sqref="C8:I15 K8:N15 J8:J9 J11:J15" xr:uid="{00000000-0002-0000-0300-000000000000}">
      <formula1>"P,A,L,E"</formula1>
    </dataValidation>
    <dataValidation type="list" allowBlank="1" promptTitle="Mark attendance" prompt="P Present · A Absent · L Late · E Excused" sqref="J10" xr:uid="{E517DD42-49B6-4AC7-AB58-17E495A75777}">
      <formula1>"P,A,L,E,H"</formula1>
    </dataValidation>
  </dataValidations>
  <pageMargins left="0.4" right="0.4" top="0.5" bottom="0.5" header="0.2" footer="0.2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  <pageSetUpPr fitToPage="1"/>
  </sheetPr>
  <dimension ref="A1:N17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5" sqref="A5:N5"/>
    </sheetView>
  </sheetViews>
  <sheetFormatPr defaultRowHeight="14.4" x14ac:dyDescent="0.3"/>
  <cols>
    <col min="1" max="1" width="6" customWidth="1"/>
    <col min="2" max="2" width="13" customWidth="1"/>
    <col min="3" max="3" width="11" customWidth="1"/>
    <col min="4" max="4" width="24" customWidth="1"/>
    <col min="5" max="5" width="40" customWidth="1"/>
    <col min="6" max="6" width="28" customWidth="1"/>
    <col min="7" max="14" width="12" customWidth="1"/>
  </cols>
  <sheetData>
    <row r="1" spans="1:14" ht="28.05" customHeight="1" x14ac:dyDescent="0.3">
      <c r="A1" s="15" t="s">
        <v>102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 customHeight="1" x14ac:dyDescent="0.3">
      <c r="A2" s="14" t="s">
        <v>103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8" customHeigh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5" spans="1:14" ht="28.05" customHeight="1" x14ac:dyDescent="0.3">
      <c r="A5" s="29" t="s">
        <v>27</v>
      </c>
      <c r="B5" s="29" t="s">
        <v>45</v>
      </c>
      <c r="C5" s="29" t="s">
        <v>46</v>
      </c>
      <c r="D5" s="29" t="s">
        <v>47</v>
      </c>
      <c r="E5" s="29" t="s">
        <v>48</v>
      </c>
      <c r="F5" s="29" t="s">
        <v>104</v>
      </c>
      <c r="G5" s="29" t="str">
        <f>'01_Roster'!E7</f>
        <v>Amit K</v>
      </c>
      <c r="H5" s="29" t="str">
        <f>'01_Roster'!E8</f>
        <v>Chandru</v>
      </c>
      <c r="I5" s="29" t="str">
        <f>'01_Roster'!E9</f>
        <v>Vishal U</v>
      </c>
      <c r="J5" s="29" t="str">
        <f>'01_Roster'!E10</f>
        <v>Vinay G</v>
      </c>
      <c r="K5" s="29" t="str">
        <f>'01_Roster'!E11</f>
        <v>Meghna</v>
      </c>
      <c r="L5" s="29" t="str">
        <f>'01_Roster'!E12</f>
        <v>Dhaya</v>
      </c>
      <c r="M5" s="29" t="str">
        <f>'01_Roster'!E13</f>
        <v>Rahul T</v>
      </c>
      <c r="N5" s="29" t="str">
        <f>'01_Roster'!E14</f>
        <v>Pradeep P</v>
      </c>
    </row>
    <row r="6" spans="1:14" ht="22.05" customHeight="1" x14ac:dyDescent="0.3">
      <c r="A6" s="5">
        <v>1</v>
      </c>
      <c r="B6" s="5">
        <v>46256</v>
      </c>
      <c r="C6" s="5" t="s">
        <v>52</v>
      </c>
      <c r="D6" s="3" t="s">
        <v>53</v>
      </c>
      <c r="E6" s="3" t="s">
        <v>54</v>
      </c>
      <c r="F6" s="3" t="s">
        <v>55</v>
      </c>
      <c r="G6" s="10" t="str">
        <f>'03_Attendance'!C8</f>
        <v>P</v>
      </c>
      <c r="H6" s="10" t="str">
        <f>'03_Attendance'!C9</f>
        <v>P</v>
      </c>
      <c r="I6" s="10" t="str">
        <f>'03_Attendance'!C10</f>
        <v>P</v>
      </c>
      <c r="J6" s="10" t="str">
        <f>'03_Attendance'!C11</f>
        <v>P</v>
      </c>
      <c r="K6" s="10" t="str">
        <f>'03_Attendance'!C12</f>
        <v>P</v>
      </c>
      <c r="L6" s="10">
        <f>'03_Attendance'!C13</f>
        <v>0</v>
      </c>
      <c r="M6" s="10" t="str">
        <f>'03_Attendance'!C14</f>
        <v>P</v>
      </c>
      <c r="N6" s="10" t="str">
        <f>'03_Attendance'!C15</f>
        <v>P</v>
      </c>
    </row>
    <row r="7" spans="1:14" ht="22.05" customHeight="1" x14ac:dyDescent="0.3">
      <c r="A7" s="5">
        <v>2</v>
      </c>
      <c r="B7" s="5">
        <v>46257</v>
      </c>
      <c r="C7" s="5" t="s">
        <v>57</v>
      </c>
      <c r="D7" s="3" t="s">
        <v>53</v>
      </c>
      <c r="E7" s="3" t="s">
        <v>58</v>
      </c>
      <c r="F7" s="3" t="s">
        <v>59</v>
      </c>
      <c r="G7" s="10" t="str">
        <f>'03_Attendance'!D8</f>
        <v>P</v>
      </c>
      <c r="H7" s="10" t="str">
        <f>'03_Attendance'!D9</f>
        <v>P</v>
      </c>
      <c r="I7" s="10" t="str">
        <f>'03_Attendance'!D10</f>
        <v>P</v>
      </c>
      <c r="J7" s="10" t="str">
        <f>'03_Attendance'!D11</f>
        <v>P</v>
      </c>
      <c r="K7" s="10" t="str">
        <f>'03_Attendance'!D12</f>
        <v>P</v>
      </c>
      <c r="L7" s="10">
        <f>'03_Attendance'!D13</f>
        <v>0</v>
      </c>
      <c r="M7" s="10" t="str">
        <f>'03_Attendance'!D14</f>
        <v>P</v>
      </c>
      <c r="N7" s="10" t="str">
        <f>'03_Attendance'!D15</f>
        <v>P</v>
      </c>
    </row>
    <row r="8" spans="1:14" ht="22.05" customHeight="1" x14ac:dyDescent="0.3">
      <c r="A8" s="5">
        <v>3</v>
      </c>
      <c r="B8" s="5">
        <v>46263</v>
      </c>
      <c r="C8" s="5" t="s">
        <v>52</v>
      </c>
      <c r="D8" s="3" t="s">
        <v>60</v>
      </c>
      <c r="E8" s="3" t="s">
        <v>61</v>
      </c>
      <c r="F8" s="3" t="s">
        <v>62</v>
      </c>
      <c r="G8" s="10" t="str">
        <f>'03_Attendance'!E8</f>
        <v>P</v>
      </c>
      <c r="H8" s="10" t="str">
        <f>'03_Attendance'!E9</f>
        <v>P</v>
      </c>
      <c r="I8" s="10" t="str">
        <f>'03_Attendance'!E10</f>
        <v>P</v>
      </c>
      <c r="J8" s="10" t="str">
        <f>'03_Attendance'!E11</f>
        <v>P</v>
      </c>
      <c r="K8" s="10" t="str">
        <f>'03_Attendance'!E12</f>
        <v>P</v>
      </c>
      <c r="L8" s="10">
        <f>'03_Attendance'!E13</f>
        <v>0</v>
      </c>
      <c r="M8" s="10" t="str">
        <f>'03_Attendance'!E14</f>
        <v>P</v>
      </c>
      <c r="N8" s="10" t="str">
        <f>'03_Attendance'!E15</f>
        <v>P</v>
      </c>
    </row>
    <row r="9" spans="1:14" ht="22.05" customHeight="1" x14ac:dyDescent="0.3">
      <c r="A9" s="5">
        <v>4</v>
      </c>
      <c r="B9" s="5">
        <v>46264</v>
      </c>
      <c r="C9" s="5" t="s">
        <v>57</v>
      </c>
      <c r="D9" s="3" t="s">
        <v>63</v>
      </c>
      <c r="E9" s="3" t="s">
        <v>64</v>
      </c>
      <c r="F9" s="3" t="s">
        <v>65</v>
      </c>
      <c r="G9" s="10" t="str">
        <f>'03_Attendance'!F8</f>
        <v>P</v>
      </c>
      <c r="H9" s="10" t="str">
        <f>'03_Attendance'!F9</f>
        <v>P</v>
      </c>
      <c r="I9" s="10" t="str">
        <f>'03_Attendance'!F10</f>
        <v>P</v>
      </c>
      <c r="J9" s="10" t="str">
        <f>'03_Attendance'!F11</f>
        <v>P</v>
      </c>
      <c r="K9" s="10" t="str">
        <f>'03_Attendance'!F12</f>
        <v>P</v>
      </c>
      <c r="L9" s="10">
        <f>'03_Attendance'!F13</f>
        <v>0</v>
      </c>
      <c r="M9" s="10" t="str">
        <f>'03_Attendance'!F14</f>
        <v>P</v>
      </c>
      <c r="N9" s="10" t="str">
        <f>'03_Attendance'!F15</f>
        <v>P</v>
      </c>
    </row>
    <row r="10" spans="1:14" ht="22.05" customHeight="1" x14ac:dyDescent="0.3">
      <c r="A10" s="5">
        <v>5</v>
      </c>
      <c r="B10" s="5">
        <v>46270</v>
      </c>
      <c r="C10" s="5" t="s">
        <v>52</v>
      </c>
      <c r="D10" s="3" t="s">
        <v>66</v>
      </c>
      <c r="E10" s="3" t="s">
        <v>67</v>
      </c>
      <c r="F10" s="3" t="s">
        <v>68</v>
      </c>
      <c r="G10" s="10" t="str">
        <f>'03_Attendance'!G8</f>
        <v>P</v>
      </c>
      <c r="H10" s="10" t="str">
        <f>'03_Attendance'!G9</f>
        <v>P</v>
      </c>
      <c r="I10" s="10" t="str">
        <f>'03_Attendance'!G10</f>
        <v>P</v>
      </c>
      <c r="J10" s="10" t="str">
        <f>'03_Attendance'!G11</f>
        <v>P</v>
      </c>
      <c r="K10" s="10" t="str">
        <f>'03_Attendance'!G12</f>
        <v>P</v>
      </c>
      <c r="L10" s="10">
        <f>'03_Attendance'!G13</f>
        <v>0</v>
      </c>
      <c r="M10" s="10" t="str">
        <f>'03_Attendance'!G14</f>
        <v>P</v>
      </c>
      <c r="N10" s="10" t="str">
        <f>'03_Attendance'!G15</f>
        <v>P</v>
      </c>
    </row>
    <row r="11" spans="1:14" ht="22.05" customHeight="1" x14ac:dyDescent="0.3">
      <c r="A11" s="5">
        <v>6</v>
      </c>
      <c r="B11" s="5">
        <v>46271</v>
      </c>
      <c r="C11" s="5" t="s">
        <v>57</v>
      </c>
      <c r="D11" s="3" t="s">
        <v>66</v>
      </c>
      <c r="E11" s="3" t="s">
        <v>69</v>
      </c>
      <c r="F11" s="3" t="s">
        <v>70</v>
      </c>
      <c r="G11" s="10" t="str">
        <f>'03_Attendance'!H8</f>
        <v>P</v>
      </c>
      <c r="H11" s="10" t="str">
        <f>'03_Attendance'!H9</f>
        <v>P</v>
      </c>
      <c r="I11" s="10" t="str">
        <f>'03_Attendance'!H10</f>
        <v>P</v>
      </c>
      <c r="J11" s="10" t="str">
        <f>'03_Attendance'!H11</f>
        <v>P</v>
      </c>
      <c r="K11" s="10" t="str">
        <f>'03_Attendance'!H12</f>
        <v>P</v>
      </c>
      <c r="L11" s="10">
        <f>'03_Attendance'!H13</f>
        <v>0</v>
      </c>
      <c r="M11" s="10" t="str">
        <f>'03_Attendance'!H14</f>
        <v>P</v>
      </c>
      <c r="N11" s="10" t="str">
        <f>'03_Attendance'!H15</f>
        <v>P</v>
      </c>
    </row>
    <row r="12" spans="1:14" ht="22.05" customHeight="1" x14ac:dyDescent="0.3">
      <c r="A12" s="5">
        <v>7</v>
      </c>
      <c r="B12" s="5">
        <v>46277</v>
      </c>
      <c r="C12" s="5" t="s">
        <v>52</v>
      </c>
      <c r="D12" s="3" t="s">
        <v>66</v>
      </c>
      <c r="E12" s="3" t="s">
        <v>71</v>
      </c>
      <c r="F12" s="3" t="s">
        <v>72</v>
      </c>
      <c r="G12" s="10" t="str">
        <f>'03_Attendance'!I8</f>
        <v>P</v>
      </c>
      <c r="H12" s="10" t="str">
        <f>'03_Attendance'!I9</f>
        <v>P</v>
      </c>
      <c r="I12" s="10" t="str">
        <f>'03_Attendance'!I10</f>
        <v>P</v>
      </c>
      <c r="J12" s="10" t="str">
        <f>'03_Attendance'!I11</f>
        <v>P</v>
      </c>
      <c r="K12" s="10" t="str">
        <f>'03_Attendance'!I12</f>
        <v>P</v>
      </c>
      <c r="L12" s="10">
        <f>'03_Attendance'!I13</f>
        <v>0</v>
      </c>
      <c r="M12" s="10" t="str">
        <f>'03_Attendance'!I14</f>
        <v>P</v>
      </c>
      <c r="N12" s="10" t="str">
        <f>'03_Attendance'!I15</f>
        <v>A</v>
      </c>
    </row>
    <row r="13" spans="1:14" ht="22.05" customHeight="1" x14ac:dyDescent="0.3">
      <c r="A13" s="5">
        <v>8</v>
      </c>
      <c r="B13" s="5">
        <v>46278</v>
      </c>
      <c r="C13" s="5" t="s">
        <v>57</v>
      </c>
      <c r="D13" s="3" t="s">
        <v>66</v>
      </c>
      <c r="E13" s="3" t="s">
        <v>74</v>
      </c>
      <c r="F13" s="3" t="s">
        <v>75</v>
      </c>
      <c r="G13" s="10" t="str">
        <f>'03_Attendance'!J8</f>
        <v>P</v>
      </c>
      <c r="H13" s="10" t="str">
        <f>'03_Attendance'!J9</f>
        <v>P</v>
      </c>
      <c r="I13" s="10" t="str">
        <f>'03_Attendance'!J10</f>
        <v>P</v>
      </c>
      <c r="J13" s="10" t="str">
        <f>'03_Attendance'!J11</f>
        <v>P</v>
      </c>
      <c r="K13" s="10" t="str">
        <f>'03_Attendance'!J12</f>
        <v>P</v>
      </c>
      <c r="L13" s="10">
        <f>'03_Attendance'!J13</f>
        <v>0</v>
      </c>
      <c r="M13" s="10" t="str">
        <f>'03_Attendance'!J14</f>
        <v>P</v>
      </c>
      <c r="N13" s="10" t="str">
        <f>'03_Attendance'!J15</f>
        <v>P</v>
      </c>
    </row>
    <row r="14" spans="1:14" ht="22.05" customHeight="1" x14ac:dyDescent="0.3">
      <c r="A14" s="5">
        <v>9</v>
      </c>
      <c r="B14" s="5">
        <v>46284</v>
      </c>
      <c r="C14" s="5" t="s">
        <v>52</v>
      </c>
      <c r="D14" s="3" t="s">
        <v>76</v>
      </c>
      <c r="E14" s="3" t="s">
        <v>77</v>
      </c>
      <c r="F14" s="3" t="s">
        <v>78</v>
      </c>
      <c r="G14" s="10" t="str">
        <f>'03_Attendance'!K8</f>
        <v>P</v>
      </c>
      <c r="H14" s="10" t="str">
        <f>'03_Attendance'!K9</f>
        <v>A</v>
      </c>
      <c r="I14" s="10" t="str">
        <f>'03_Attendance'!K10</f>
        <v>P</v>
      </c>
      <c r="J14" s="10" t="str">
        <f>'03_Attendance'!K11</f>
        <v>P</v>
      </c>
      <c r="K14" s="10" t="str">
        <f>'03_Attendance'!K12</f>
        <v>P</v>
      </c>
      <c r="L14" s="10" t="str">
        <f>'03_Attendance'!K13</f>
        <v>P</v>
      </c>
      <c r="M14" s="10" t="str">
        <f>'03_Attendance'!K14</f>
        <v>P</v>
      </c>
      <c r="N14" s="10" t="str">
        <f>'03_Attendance'!K15</f>
        <v>P</v>
      </c>
    </row>
    <row r="15" spans="1:14" ht="22.05" customHeight="1" x14ac:dyDescent="0.3">
      <c r="A15" s="5">
        <v>10</v>
      </c>
      <c r="B15" s="5">
        <v>46285</v>
      </c>
      <c r="C15" s="5" t="s">
        <v>57</v>
      </c>
      <c r="D15" s="3" t="s">
        <v>76</v>
      </c>
      <c r="E15" s="3" t="s">
        <v>79</v>
      </c>
      <c r="F15" s="3" t="s">
        <v>80</v>
      </c>
      <c r="G15" s="10" t="str">
        <f>'03_Attendance'!L8</f>
        <v>P</v>
      </c>
      <c r="H15" s="10" t="str">
        <f>'03_Attendance'!L9</f>
        <v>P</v>
      </c>
      <c r="I15" s="10" t="str">
        <f>'03_Attendance'!L10</f>
        <v>P</v>
      </c>
      <c r="J15" s="10" t="str">
        <f>'03_Attendance'!L11</f>
        <v>P</v>
      </c>
      <c r="K15" s="10" t="str">
        <f>'03_Attendance'!L12</f>
        <v>L</v>
      </c>
      <c r="L15" s="10" t="str">
        <f>'03_Attendance'!L13</f>
        <v>P</v>
      </c>
      <c r="M15" s="10" t="str">
        <f>'03_Attendance'!L14</f>
        <v>P</v>
      </c>
      <c r="N15" s="10" t="str">
        <f>'03_Attendance'!L15</f>
        <v>P</v>
      </c>
    </row>
    <row r="16" spans="1:14" ht="22.05" customHeight="1" x14ac:dyDescent="0.3">
      <c r="A16" s="5">
        <v>11</v>
      </c>
      <c r="B16" s="5">
        <v>46291</v>
      </c>
      <c r="C16" s="5" t="s">
        <v>52</v>
      </c>
      <c r="D16" s="3" t="s">
        <v>81</v>
      </c>
      <c r="E16" s="3" t="s">
        <v>82</v>
      </c>
      <c r="F16" s="3" t="s">
        <v>83</v>
      </c>
      <c r="G16" s="10">
        <f>'03_Attendance'!M8</f>
        <v>0</v>
      </c>
      <c r="H16" s="10">
        <f>'03_Attendance'!M9</f>
        <v>0</v>
      </c>
      <c r="I16" s="10">
        <f>'03_Attendance'!M10</f>
        <v>0</v>
      </c>
      <c r="J16" s="10">
        <f>'03_Attendance'!M11</f>
        <v>0</v>
      </c>
      <c r="K16" s="10">
        <f>'03_Attendance'!M12</f>
        <v>0</v>
      </c>
      <c r="L16" s="10">
        <f>'03_Attendance'!M13</f>
        <v>0</v>
      </c>
      <c r="M16" s="10">
        <f>'03_Attendance'!M14</f>
        <v>0</v>
      </c>
      <c r="N16" s="10">
        <f>'03_Attendance'!M15</f>
        <v>0</v>
      </c>
    </row>
    <row r="17" spans="1:14" ht="22.05" customHeight="1" x14ac:dyDescent="0.3">
      <c r="A17" s="5">
        <v>12</v>
      </c>
      <c r="B17" s="5">
        <v>46292</v>
      </c>
      <c r="C17" s="5" t="s">
        <v>57</v>
      </c>
      <c r="D17" s="3" t="s">
        <v>84</v>
      </c>
      <c r="E17" s="3" t="s">
        <v>85</v>
      </c>
      <c r="F17" s="3" t="s">
        <v>86</v>
      </c>
      <c r="G17" s="10">
        <f>'03_Attendance'!N8</f>
        <v>0</v>
      </c>
      <c r="H17" s="10">
        <f>'03_Attendance'!N9</f>
        <v>0</v>
      </c>
      <c r="I17" s="10">
        <f>'03_Attendance'!N10</f>
        <v>0</v>
      </c>
      <c r="J17" s="10">
        <f>'03_Attendance'!N11</f>
        <v>0</v>
      </c>
      <c r="K17" s="10">
        <f>'03_Attendance'!N12</f>
        <v>0</v>
      </c>
      <c r="L17" s="10">
        <f>'03_Attendance'!N13</f>
        <v>0</v>
      </c>
      <c r="M17" s="10">
        <f>'03_Attendance'!N14</f>
        <v>0</v>
      </c>
      <c r="N17" s="10">
        <f>'03_Attendance'!N15</f>
        <v>0</v>
      </c>
    </row>
  </sheetData>
  <mergeCells count="3">
    <mergeCell ref="A3:N3"/>
    <mergeCell ref="A2:N2"/>
    <mergeCell ref="A1:N1"/>
  </mergeCells>
  <conditionalFormatting sqref="G6:N17">
    <cfRule type="cellIs" dxfId="7" priority="1" operator="equal">
      <formula>"P"</formula>
    </cfRule>
    <cfRule type="cellIs" dxfId="6" priority="2" operator="equal">
      <formula>"A"</formula>
    </cfRule>
    <cfRule type="cellIs" dxfId="5" priority="3" operator="equal">
      <formula>"L"</formula>
    </cfRule>
    <cfRule type="cellIs" dxfId="4" priority="4" operator="equal">
      <formula>"E"</formula>
    </cfRule>
  </conditionalFormatting>
  <pageMargins left="0.4" right="0.4" top="0.5" bottom="0.5" header="0.2" footer="0.2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4C41"/>
    <pageSetUpPr fitToPage="1"/>
  </sheetPr>
  <dimension ref="A1:H18"/>
  <sheetViews>
    <sheetView showGridLines="0" topLeftCell="A4" workbookViewId="0">
      <selection activeCell="B10" sqref="B10"/>
    </sheetView>
  </sheetViews>
  <sheetFormatPr defaultRowHeight="14.4" x14ac:dyDescent="0.3"/>
  <cols>
    <col min="1" max="1" width="24" customWidth="1"/>
    <col min="2" max="2" width="22" customWidth="1"/>
    <col min="3" max="3" width="3" customWidth="1"/>
    <col min="4" max="4" width="6" customWidth="1"/>
    <col min="5" max="5" width="22" customWidth="1"/>
    <col min="6" max="6" width="14" customWidth="1"/>
    <col min="7" max="7" width="16" customWidth="1"/>
  </cols>
  <sheetData>
    <row r="1" spans="1:8" ht="28.05" customHeight="1" x14ac:dyDescent="0.3">
      <c r="A1" s="15" t="s">
        <v>105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4" t="s">
        <v>106</v>
      </c>
      <c r="B2" s="13"/>
      <c r="C2" s="13"/>
      <c r="D2" s="13"/>
      <c r="E2" s="13"/>
      <c r="F2" s="13"/>
      <c r="G2" s="13"/>
      <c r="H2" s="13"/>
    </row>
    <row r="3" spans="1:8" ht="18" customHeight="1" x14ac:dyDescent="0.3">
      <c r="A3" s="12" t="s">
        <v>2</v>
      </c>
      <c r="B3" s="13"/>
      <c r="C3" s="13"/>
      <c r="D3" s="13"/>
      <c r="E3" s="13"/>
      <c r="F3" s="13"/>
      <c r="G3" s="13"/>
      <c r="H3" s="13"/>
    </row>
    <row r="5" spans="1:8" x14ac:dyDescent="0.3">
      <c r="A5" s="1" t="s">
        <v>107</v>
      </c>
      <c r="B5" s="1" t="s">
        <v>108</v>
      </c>
      <c r="D5" s="17" t="s">
        <v>109</v>
      </c>
      <c r="E5" s="13"/>
      <c r="F5" s="13"/>
      <c r="G5" s="13"/>
    </row>
    <row r="6" spans="1:8" x14ac:dyDescent="0.3">
      <c r="A6" s="11" t="s">
        <v>25</v>
      </c>
      <c r="B6" s="4" t="str">
        <f>'01_Roster'!B6</f>
        <v>Batch 1</v>
      </c>
      <c r="D6" s="1" t="s">
        <v>27</v>
      </c>
      <c r="E6" s="1" t="s">
        <v>96</v>
      </c>
      <c r="F6" s="1" t="s">
        <v>110</v>
      </c>
      <c r="G6" s="1" t="s">
        <v>111</v>
      </c>
    </row>
    <row r="7" spans="1:8" x14ac:dyDescent="0.3">
      <c r="A7" s="11" t="s">
        <v>112</v>
      </c>
      <c r="B7" s="4">
        <v>8</v>
      </c>
      <c r="D7" s="5">
        <v>1</v>
      </c>
      <c r="E7" s="3" t="str">
        <f>'01_Roster'!E7</f>
        <v>Amit K</v>
      </c>
      <c r="F7" s="28">
        <f>'03_Attendance'!Q8</f>
        <v>1</v>
      </c>
      <c r="G7" s="5" t="str">
        <f t="shared" ref="G7:G14" si="0">IF(F7="","",IF(F7&gt;=0.9,"Excellent",IF(F7&gt;=0.75,"Good",IF(F7&gt;=0.6,"Watch","At risk"))))</f>
        <v>Excellent</v>
      </c>
    </row>
    <row r="8" spans="1:8" x14ac:dyDescent="0.3">
      <c r="A8" s="11" t="s">
        <v>113</v>
      </c>
      <c r="B8" s="4">
        <v>12</v>
      </c>
      <c r="D8" s="5">
        <v>2</v>
      </c>
      <c r="E8" s="3" t="str">
        <f>'01_Roster'!E8</f>
        <v>Chandru</v>
      </c>
      <c r="F8" s="28">
        <f>'03_Attendance'!Q9</f>
        <v>0.9</v>
      </c>
      <c r="G8" s="5" t="str">
        <f t="shared" si="0"/>
        <v>Excellent</v>
      </c>
    </row>
    <row r="9" spans="1:8" x14ac:dyDescent="0.3">
      <c r="A9" s="11" t="s">
        <v>114</v>
      </c>
      <c r="B9" s="4">
        <f>'02_Session_Plan'!H18</f>
        <v>36</v>
      </c>
      <c r="D9" s="5">
        <v>3</v>
      </c>
      <c r="E9" s="3" t="str">
        <f>'01_Roster'!E9</f>
        <v>Vishal U</v>
      </c>
      <c r="F9" s="28">
        <f>'03_Attendance'!Q10</f>
        <v>1</v>
      </c>
      <c r="G9" s="5" t="str">
        <f t="shared" si="0"/>
        <v>Excellent</v>
      </c>
    </row>
    <row r="10" spans="1:8" x14ac:dyDescent="0.3">
      <c r="A10" s="11" t="s">
        <v>115</v>
      </c>
      <c r="B10" s="27">
        <f>IFERROR(AVERAGE('03_Attendance'!Q8:Q15),"")</f>
        <v>0.97500000000000009</v>
      </c>
      <c r="D10" s="5">
        <v>4</v>
      </c>
      <c r="E10" s="3" t="str">
        <f>'01_Roster'!E10</f>
        <v>Vinay G</v>
      </c>
      <c r="F10" s="28">
        <f>'03_Attendance'!Q11</f>
        <v>1</v>
      </c>
      <c r="G10" s="5" t="str">
        <f t="shared" si="0"/>
        <v>Excellent</v>
      </c>
    </row>
    <row r="11" spans="1:8" x14ac:dyDescent="0.3">
      <c r="A11" s="11" t="s">
        <v>116</v>
      </c>
      <c r="B11" s="4">
        <f>COUNTIF('03_Attendance'!Q8:Q15,"&lt;0.75")</f>
        <v>0</v>
      </c>
      <c r="D11" s="5">
        <v>5</v>
      </c>
      <c r="E11" s="3" t="str">
        <f>'01_Roster'!E11</f>
        <v>Meghna</v>
      </c>
      <c r="F11" s="28">
        <f>'03_Attendance'!Q12</f>
        <v>1</v>
      </c>
      <c r="G11" s="5" t="str">
        <f t="shared" si="0"/>
        <v>Excellent</v>
      </c>
    </row>
    <row r="12" spans="1:8" x14ac:dyDescent="0.3">
      <c r="D12" s="5">
        <v>6</v>
      </c>
      <c r="E12" s="3" t="str">
        <f>'01_Roster'!E12</f>
        <v>Dhaya</v>
      </c>
      <c r="F12" s="28">
        <f>'03_Attendance'!Q13</f>
        <v>1</v>
      </c>
      <c r="G12" s="5" t="str">
        <f t="shared" si="0"/>
        <v>Excellent</v>
      </c>
    </row>
    <row r="13" spans="1:8" x14ac:dyDescent="0.3">
      <c r="D13" s="5">
        <v>7</v>
      </c>
      <c r="E13" s="3" t="str">
        <f>'01_Roster'!E13</f>
        <v>Rahul T</v>
      </c>
      <c r="F13" s="28">
        <f>'03_Attendance'!Q14</f>
        <v>1</v>
      </c>
      <c r="G13" s="5" t="str">
        <f t="shared" si="0"/>
        <v>Excellent</v>
      </c>
    </row>
    <row r="14" spans="1:8" x14ac:dyDescent="0.3">
      <c r="D14" s="5">
        <v>8</v>
      </c>
      <c r="E14" s="3" t="str">
        <f>'01_Roster'!E14</f>
        <v>Pradeep P</v>
      </c>
      <c r="F14" s="28">
        <f>'03_Attendance'!Q15</f>
        <v>0.9</v>
      </c>
      <c r="G14" s="5" t="str">
        <f t="shared" si="0"/>
        <v>Excellent</v>
      </c>
    </row>
    <row r="16" spans="1:8" x14ac:dyDescent="0.3">
      <c r="D16" s="23" t="s">
        <v>117</v>
      </c>
      <c r="E16" s="13"/>
      <c r="F16" s="13"/>
      <c r="G16" s="13"/>
    </row>
    <row r="17" spans="4:7" x14ac:dyDescent="0.3">
      <c r="D17" s="13"/>
      <c r="E17" s="13"/>
      <c r="F17" s="13"/>
      <c r="G17" s="13"/>
    </row>
    <row r="18" spans="4:7" x14ac:dyDescent="0.3">
      <c r="D18" s="13"/>
      <c r="E18" s="13"/>
      <c r="F18" s="13"/>
      <c r="G18" s="13"/>
    </row>
  </sheetData>
  <mergeCells count="5">
    <mergeCell ref="A3:H3"/>
    <mergeCell ref="A2:H2"/>
    <mergeCell ref="D16:G18"/>
    <mergeCell ref="A1:H1"/>
    <mergeCell ref="D5:G5"/>
  </mergeCells>
  <conditionalFormatting sqref="G7:G14">
    <cfRule type="cellIs" dxfId="3" priority="1" operator="equal">
      <formula>"Excellent"</formula>
    </cfRule>
    <cfRule type="cellIs" dxfId="2" priority="2" operator="equal">
      <formula>"Good"</formula>
    </cfRule>
    <cfRule type="cellIs" dxfId="1" priority="3" operator="equal">
      <formula>"Watch"</formula>
    </cfRule>
    <cfRule type="cellIs" dxfId="0" priority="4" operator="equal">
      <formula>"At risk"</formula>
    </cfRule>
  </conditionalFormatting>
  <conditionalFormatting sqref="F7:F14">
    <cfRule type="colorScale" priority="5">
      <colorScale>
        <cfvo type="num" val="0.5"/>
        <cfvo type="num" val="0.8"/>
        <cfvo type="num" val="1"/>
        <color rgb="FFFFCDD2"/>
        <color rgb="FFFFF9C4"/>
        <color rgb="FFC8E6C9"/>
      </colorScale>
    </cfRule>
  </conditionalFormatting>
  <pageMargins left="0.4" right="0.4" top="0.5" bottom="0.5" header="0.2" footer="0.2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00_How_to_use</vt:lpstr>
      <vt:lpstr>01_Roster</vt:lpstr>
      <vt:lpstr>02_Session_Plan</vt:lpstr>
      <vt:lpstr>03_Attendance</vt:lpstr>
      <vt:lpstr>04_Topic_Matrix</vt:lpstr>
      <vt:lpstr>05_Summary</vt:lpstr>
      <vt:lpstr>'00_How_to_use'!Print_Titles</vt:lpstr>
      <vt:lpstr>'01_Roster'!Print_Titles</vt:lpstr>
      <vt:lpstr>'02_Session_Plan'!Print_Titles</vt:lpstr>
      <vt:lpstr>'03_Attendance'!Print_Titles</vt:lpstr>
      <vt:lpstr>'04_Topic_Matrix'!Print_Titles</vt:lpstr>
      <vt:lpstr>'05_Summary'!Print_Titles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2026-09-20T07:33:34Z</dcterms:created>
  <dcterms:modified xsi:type="dcterms:W3CDTF">2026-09-20T14:39:57Z</dcterms:modified>
</cp:coreProperties>
</file>