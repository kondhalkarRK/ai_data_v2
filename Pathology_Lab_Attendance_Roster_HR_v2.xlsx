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E:\ai_data_rag\ai_data_v2\"/>
    </mc:Choice>
  </mc:AlternateContent>
  <xr:revisionPtr revIDLastSave="0" documentId="13_ncr:1_{9E2F2BC1-448A-4B8D-A9C8-453D7BA4B020}" xr6:coauthVersionLast="47" xr6:coauthVersionMax="47" xr10:uidLastSave="{00000000-0000-0000-0000-000000000000}"/>
  <bookViews>
    <workbookView xWindow="-108" yWindow="-108" windowWidth="23256" windowHeight="12456" activeTab="3" xr2:uid="{00000000-000D-0000-FFFF-FFFF00000000}"/>
  </bookViews>
  <sheets>
    <sheet name="00_Home" sheetId="1" r:id="rId1"/>
    <sheet name="01_Config" sheetId="2" r:id="rId2"/>
    <sheet name="02_Employee_Master" sheetId="3" r:id="rId3"/>
    <sheet name="03_Roster" sheetId="4" r:id="rId4"/>
    <sheet name="04_Attendance" sheetId="5" r:id="rId5"/>
    <sheet name="05_Leave" sheetId="6" r:id="rId6"/>
    <sheet name="06_Dashboard" sheetId="7" r:id="rId7"/>
  </sheets>
  <definedNames>
    <definedName name="_xlnm._FilterDatabase" localSheetId="2" hidden="1">'02_Employee_Master'!$A$5:$L$45</definedName>
    <definedName name="_xlnm._FilterDatabase" localSheetId="3" hidden="1">'03_Roster'!$A$7:$AH$30</definedName>
  </definedNames>
  <calcPr calcId="191029"/>
</workbook>
</file>

<file path=xl/calcChain.xml><?xml version="1.0" encoding="utf-8"?>
<calcChain xmlns="http://schemas.openxmlformats.org/spreadsheetml/2006/main">
  <c r="C51" i="7" l="1"/>
  <c r="C49" i="7"/>
  <c r="C48" i="7"/>
  <c r="C43" i="7"/>
  <c r="C41" i="7"/>
  <c r="C40" i="7"/>
  <c r="C33" i="7"/>
  <c r="C32" i="7"/>
  <c r="I22" i="7"/>
  <c r="I21" i="7"/>
  <c r="D21" i="7"/>
  <c r="I20" i="7"/>
  <c r="D20" i="7"/>
  <c r="I19" i="7"/>
  <c r="D19" i="7"/>
  <c r="I18" i="7"/>
  <c r="D18" i="7"/>
  <c r="I17" i="7"/>
  <c r="I16" i="7"/>
  <c r="I15" i="7"/>
  <c r="D15" i="7"/>
  <c r="C15" i="7"/>
  <c r="B15" i="7"/>
  <c r="E11" i="7"/>
  <c r="D11" i="7"/>
  <c r="C11" i="7"/>
  <c r="B11" i="7"/>
  <c r="F7" i="7"/>
  <c r="E7" i="7"/>
  <c r="D7" i="7"/>
  <c r="C7" i="7"/>
  <c r="B7" i="7"/>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N26" i="6"/>
  <c r="M26" i="6"/>
  <c r="O26" i="6" s="1"/>
  <c r="K26" i="6"/>
  <c r="L26" i="6" s="1"/>
  <c r="J26" i="6"/>
  <c r="G26" i="6"/>
  <c r="E26" i="6"/>
  <c r="D26" i="6"/>
  <c r="F26" i="6" s="1"/>
  <c r="C26" i="6"/>
  <c r="B26" i="6"/>
  <c r="A26" i="6"/>
  <c r="H26" i="6" s="1"/>
  <c r="N25" i="6"/>
  <c r="M25" i="6"/>
  <c r="O25" i="6" s="1"/>
  <c r="K25" i="6"/>
  <c r="J25" i="6"/>
  <c r="L25" i="6" s="1"/>
  <c r="G25" i="6"/>
  <c r="E25" i="6"/>
  <c r="D25" i="6"/>
  <c r="F25" i="6" s="1"/>
  <c r="C25" i="6"/>
  <c r="B25" i="6"/>
  <c r="A25" i="6"/>
  <c r="H25" i="6" s="1"/>
  <c r="I25" i="6" s="1"/>
  <c r="M24" i="6"/>
  <c r="J24" i="6"/>
  <c r="G24" i="6"/>
  <c r="D24" i="6"/>
  <c r="C24" i="6"/>
  <c r="B24" i="6"/>
  <c r="A24" i="6"/>
  <c r="H24" i="6" s="1"/>
  <c r="I24" i="6" s="1"/>
  <c r="M23" i="6"/>
  <c r="J23" i="6"/>
  <c r="H23" i="6"/>
  <c r="I23" i="6" s="1"/>
  <c r="G23" i="6"/>
  <c r="D23" i="6"/>
  <c r="C23" i="6"/>
  <c r="B23" i="6"/>
  <c r="A23" i="6"/>
  <c r="N23" i="6" s="1"/>
  <c r="O23" i="6" s="1"/>
  <c r="M22" i="6"/>
  <c r="J22" i="6"/>
  <c r="H22" i="6"/>
  <c r="G22" i="6"/>
  <c r="I22" i="6" s="1"/>
  <c r="D22" i="6"/>
  <c r="C22" i="6"/>
  <c r="B22" i="6"/>
  <c r="A22" i="6"/>
  <c r="N22" i="6" s="1"/>
  <c r="O22" i="6" s="1"/>
  <c r="N21" i="6"/>
  <c r="O21" i="6" s="1"/>
  <c r="M21" i="6"/>
  <c r="J21" i="6"/>
  <c r="G21" i="6"/>
  <c r="D21" i="6"/>
  <c r="C21" i="6"/>
  <c r="B21" i="6"/>
  <c r="A21" i="6"/>
  <c r="E21" i="6" s="1"/>
  <c r="F21" i="6" s="1"/>
  <c r="N20" i="6"/>
  <c r="M20" i="6"/>
  <c r="O20" i="6" s="1"/>
  <c r="J20" i="6"/>
  <c r="H20" i="6"/>
  <c r="G20" i="6"/>
  <c r="I20" i="6" s="1"/>
  <c r="E20" i="6"/>
  <c r="F20" i="6" s="1"/>
  <c r="D20" i="6"/>
  <c r="C20" i="6"/>
  <c r="B20" i="6"/>
  <c r="A20" i="6"/>
  <c r="K20" i="6" s="1"/>
  <c r="N19" i="6"/>
  <c r="M19" i="6"/>
  <c r="O19" i="6" s="1"/>
  <c r="J19" i="6"/>
  <c r="H19" i="6"/>
  <c r="G19" i="6"/>
  <c r="I19" i="6" s="1"/>
  <c r="E19" i="6"/>
  <c r="D19" i="6"/>
  <c r="F19" i="6" s="1"/>
  <c r="C19" i="6"/>
  <c r="B19" i="6"/>
  <c r="A19" i="6"/>
  <c r="K19" i="6" s="1"/>
  <c r="L19" i="6" s="1"/>
  <c r="N18" i="6"/>
  <c r="M18" i="6"/>
  <c r="O18" i="6" s="1"/>
  <c r="K18" i="6"/>
  <c r="L18" i="6" s="1"/>
  <c r="J18" i="6"/>
  <c r="G18" i="6"/>
  <c r="I18" i="6" s="1"/>
  <c r="E18" i="6"/>
  <c r="D18" i="6"/>
  <c r="F18" i="6" s="1"/>
  <c r="C18" i="6"/>
  <c r="B18" i="6"/>
  <c r="A18" i="6"/>
  <c r="H18" i="6" s="1"/>
  <c r="N17" i="6"/>
  <c r="M17" i="6"/>
  <c r="O17" i="6" s="1"/>
  <c r="K17" i="6"/>
  <c r="J17" i="6"/>
  <c r="L17" i="6" s="1"/>
  <c r="G17" i="6"/>
  <c r="E17" i="6"/>
  <c r="D17" i="6"/>
  <c r="F17" i="6" s="1"/>
  <c r="C17" i="6"/>
  <c r="B17" i="6"/>
  <c r="A17" i="6"/>
  <c r="H17" i="6" s="1"/>
  <c r="I17" i="6" s="1"/>
  <c r="M16" i="6"/>
  <c r="J16" i="6"/>
  <c r="G16" i="6"/>
  <c r="D16" i="6"/>
  <c r="C16" i="6"/>
  <c r="B16" i="6"/>
  <c r="A16" i="6"/>
  <c r="H16" i="6" s="1"/>
  <c r="I16" i="6" s="1"/>
  <c r="M15" i="6"/>
  <c r="O15" i="6" s="1"/>
  <c r="J15" i="6"/>
  <c r="H15" i="6"/>
  <c r="I15" i="6" s="1"/>
  <c r="G15" i="6"/>
  <c r="D15" i="6"/>
  <c r="C15" i="6"/>
  <c r="B15" i="6"/>
  <c r="A15" i="6"/>
  <c r="N15" i="6" s="1"/>
  <c r="M14" i="6"/>
  <c r="J14" i="6"/>
  <c r="H14" i="6"/>
  <c r="G14" i="6"/>
  <c r="I14" i="6" s="1"/>
  <c r="D14" i="6"/>
  <c r="C14" i="6"/>
  <c r="B14" i="6"/>
  <c r="A14" i="6"/>
  <c r="N14" i="6" s="1"/>
  <c r="O14" i="6" s="1"/>
  <c r="N13" i="6"/>
  <c r="O13" i="6" s="1"/>
  <c r="M13" i="6"/>
  <c r="J13" i="6"/>
  <c r="G13" i="6"/>
  <c r="D13" i="6"/>
  <c r="C13" i="6"/>
  <c r="B13" i="6"/>
  <c r="A13" i="6"/>
  <c r="E13" i="6" s="1"/>
  <c r="F13" i="6" s="1"/>
  <c r="N12" i="6"/>
  <c r="M12" i="6"/>
  <c r="O12" i="6" s="1"/>
  <c r="J12" i="6"/>
  <c r="H12" i="6"/>
  <c r="G12" i="6"/>
  <c r="I12" i="6" s="1"/>
  <c r="E12" i="6"/>
  <c r="F12" i="6" s="1"/>
  <c r="D12" i="6"/>
  <c r="C12" i="6"/>
  <c r="B12" i="6"/>
  <c r="A12" i="6"/>
  <c r="K12" i="6" s="1"/>
  <c r="N11" i="6"/>
  <c r="M11" i="6"/>
  <c r="O11" i="6" s="1"/>
  <c r="J11" i="6"/>
  <c r="H11" i="6"/>
  <c r="G11" i="6"/>
  <c r="I11" i="6" s="1"/>
  <c r="E11" i="6"/>
  <c r="D11" i="6"/>
  <c r="F11" i="6" s="1"/>
  <c r="C11" i="6"/>
  <c r="B11" i="6"/>
  <c r="A11" i="6"/>
  <c r="K11" i="6" s="1"/>
  <c r="L11" i="6" s="1"/>
  <c r="N10" i="6"/>
  <c r="M10" i="6"/>
  <c r="O10" i="6" s="1"/>
  <c r="K10" i="6"/>
  <c r="L10" i="6" s="1"/>
  <c r="J10" i="6"/>
  <c r="G10" i="6"/>
  <c r="I10" i="6" s="1"/>
  <c r="E10" i="6"/>
  <c r="D10" i="6"/>
  <c r="F10" i="6" s="1"/>
  <c r="C10" i="6"/>
  <c r="K15" i="7" s="1"/>
  <c r="B10" i="6"/>
  <c r="A10" i="6"/>
  <c r="H10" i="6" s="1"/>
  <c r="N9" i="6"/>
  <c r="M9" i="6"/>
  <c r="O9" i="6" s="1"/>
  <c r="K9" i="6"/>
  <c r="J9" i="6"/>
  <c r="L9" i="6" s="1"/>
  <c r="G9" i="6"/>
  <c r="E9" i="6"/>
  <c r="D9" i="6"/>
  <c r="F9" i="6" s="1"/>
  <c r="C9" i="6"/>
  <c r="B9" i="6"/>
  <c r="A9" i="6"/>
  <c r="H9" i="6" s="1"/>
  <c r="I9" i="6" s="1"/>
  <c r="M8" i="6"/>
  <c r="J8" i="6"/>
  <c r="G8" i="6"/>
  <c r="D8" i="6"/>
  <c r="C8" i="6"/>
  <c r="B8" i="6"/>
  <c r="A8" i="6"/>
  <c r="H8" i="6" s="1"/>
  <c r="I8" i="6" s="1"/>
  <c r="M7" i="6"/>
  <c r="J7" i="6"/>
  <c r="H7" i="6"/>
  <c r="I7" i="6" s="1"/>
  <c r="G7" i="6"/>
  <c r="D7" i="6"/>
  <c r="C7" i="6"/>
  <c r="K21" i="7" s="1"/>
  <c r="B7" i="6"/>
  <c r="A7" i="6"/>
  <c r="N7" i="6" s="1"/>
  <c r="O7" i="6" s="1"/>
  <c r="AH28" i="5"/>
  <c r="C55" i="7" s="1"/>
  <c r="AG28" i="5"/>
  <c r="C54" i="7" s="1"/>
  <c r="AF28" i="5"/>
  <c r="C53" i="7" s="1"/>
  <c r="AE28" i="5"/>
  <c r="C52" i="7" s="1"/>
  <c r="AD28" i="5"/>
  <c r="AC28" i="5"/>
  <c r="C50" i="7" s="1"/>
  <c r="AB28" i="5"/>
  <c r="AA28" i="5"/>
  <c r="Z28" i="5"/>
  <c r="C47" i="7" s="1"/>
  <c r="Y28" i="5"/>
  <c r="C46" i="7" s="1"/>
  <c r="X28" i="5"/>
  <c r="C45" i="7" s="1"/>
  <c r="W28" i="5"/>
  <c r="C44" i="7" s="1"/>
  <c r="V28" i="5"/>
  <c r="U28" i="5"/>
  <c r="C42" i="7" s="1"/>
  <c r="T28" i="5"/>
  <c r="S28" i="5"/>
  <c r="R28" i="5"/>
  <c r="C39" i="7" s="1"/>
  <c r="Q28" i="5"/>
  <c r="C38" i="7" s="1"/>
  <c r="P28" i="5"/>
  <c r="C37" i="7" s="1"/>
  <c r="O28" i="5"/>
  <c r="C36" i="7" s="1"/>
  <c r="N28" i="5"/>
  <c r="C35" i="7" s="1"/>
  <c r="M28" i="5"/>
  <c r="C34" i="7" s="1"/>
  <c r="L28" i="5"/>
  <c r="K28" i="5"/>
  <c r="J28" i="5"/>
  <c r="C31" i="7" s="1"/>
  <c r="I28" i="5"/>
  <c r="C30" i="7" s="1"/>
  <c r="H28" i="5"/>
  <c r="C29" i="7" s="1"/>
  <c r="G28" i="5"/>
  <c r="C28" i="7" s="1"/>
  <c r="F28" i="5"/>
  <c r="C27" i="7" s="1"/>
  <c r="E28" i="5"/>
  <c r="C26" i="7" s="1"/>
  <c r="AO27" i="5"/>
  <c r="AN27" i="5"/>
  <c r="AP27" i="5" s="1"/>
  <c r="AM27" i="5"/>
  <c r="AL27" i="5"/>
  <c r="AK27" i="5"/>
  <c r="AJ27" i="5"/>
  <c r="AI27" i="5"/>
  <c r="D27" i="5"/>
  <c r="C27" i="5"/>
  <c r="B27" i="5"/>
  <c r="A27" i="5"/>
  <c r="AO26" i="5"/>
  <c r="AN26" i="5"/>
  <c r="AM26" i="5"/>
  <c r="AL26" i="5"/>
  <c r="AK26" i="5"/>
  <c r="AJ26" i="5"/>
  <c r="AI26" i="5"/>
  <c r="AP26" i="5" s="1"/>
  <c r="D26" i="5"/>
  <c r="C26" i="5"/>
  <c r="B26" i="5"/>
  <c r="A26" i="5"/>
  <c r="AO25" i="5"/>
  <c r="AN25" i="5"/>
  <c r="AP25" i="5" s="1"/>
  <c r="AM25" i="5"/>
  <c r="AL25" i="5"/>
  <c r="AK25" i="5"/>
  <c r="AJ25" i="5"/>
  <c r="AI25" i="5"/>
  <c r="D25" i="5"/>
  <c r="C25" i="5"/>
  <c r="B25" i="5"/>
  <c r="A25" i="5"/>
  <c r="AO24" i="5"/>
  <c r="AN24" i="5"/>
  <c r="AM24" i="5"/>
  <c r="AL24" i="5"/>
  <c r="AK24" i="5"/>
  <c r="AJ24" i="5"/>
  <c r="AI24" i="5"/>
  <c r="AP24" i="5" s="1"/>
  <c r="D24" i="5"/>
  <c r="C24" i="5"/>
  <c r="B24" i="5"/>
  <c r="A24" i="5"/>
  <c r="AO23" i="5"/>
  <c r="AN23" i="5"/>
  <c r="AP23" i="5" s="1"/>
  <c r="AM23" i="5"/>
  <c r="AL23" i="5"/>
  <c r="AK23" i="5"/>
  <c r="AJ23" i="5"/>
  <c r="AI23" i="5"/>
  <c r="D23" i="5"/>
  <c r="C23" i="5"/>
  <c r="B23" i="5"/>
  <c r="A23" i="5"/>
  <c r="AO22" i="5"/>
  <c r="AN22" i="5"/>
  <c r="AM22" i="5"/>
  <c r="AL22" i="5"/>
  <c r="AK22" i="5"/>
  <c r="AJ22" i="5"/>
  <c r="AI22" i="5"/>
  <c r="AP22" i="5" s="1"/>
  <c r="D22" i="5"/>
  <c r="C22" i="5"/>
  <c r="B22" i="5"/>
  <c r="A22" i="5"/>
  <c r="AO21" i="5"/>
  <c r="AN21" i="5"/>
  <c r="AP21" i="5" s="1"/>
  <c r="AM21" i="5"/>
  <c r="AL21" i="5"/>
  <c r="AK21" i="5"/>
  <c r="AJ21" i="5"/>
  <c r="AI21" i="5"/>
  <c r="D21" i="5"/>
  <c r="C21" i="5"/>
  <c r="B21" i="5"/>
  <c r="A21" i="5"/>
  <c r="AO20" i="5"/>
  <c r="AN20" i="5"/>
  <c r="AM20" i="5"/>
  <c r="AL20" i="5"/>
  <c r="AK20" i="5"/>
  <c r="AJ20" i="5"/>
  <c r="AI20" i="5"/>
  <c r="AP20" i="5" s="1"/>
  <c r="D20" i="5"/>
  <c r="C20" i="5"/>
  <c r="B20" i="5"/>
  <c r="A20" i="5"/>
  <c r="AO19" i="5"/>
  <c r="AN19" i="5"/>
  <c r="AP19" i="5" s="1"/>
  <c r="AM19" i="5"/>
  <c r="AL19" i="5"/>
  <c r="AK19" i="5"/>
  <c r="AJ19" i="5"/>
  <c r="AI19" i="5"/>
  <c r="D19" i="5"/>
  <c r="C19" i="5"/>
  <c r="B19" i="5"/>
  <c r="A19" i="5"/>
  <c r="AO18" i="5"/>
  <c r="AN18" i="5"/>
  <c r="AM18" i="5"/>
  <c r="AL18" i="5"/>
  <c r="AK18" i="5"/>
  <c r="AJ18" i="5"/>
  <c r="AI18" i="5"/>
  <c r="AP18" i="5" s="1"/>
  <c r="D18" i="5"/>
  <c r="C18" i="5"/>
  <c r="B18" i="5"/>
  <c r="A18" i="5"/>
  <c r="AO17" i="5"/>
  <c r="AN17" i="5"/>
  <c r="AP17" i="5" s="1"/>
  <c r="AM17" i="5"/>
  <c r="AL17" i="5"/>
  <c r="AK17" i="5"/>
  <c r="AJ17" i="5"/>
  <c r="AI17" i="5"/>
  <c r="D17" i="5"/>
  <c r="C17" i="5"/>
  <c r="B17" i="5"/>
  <c r="A17" i="5"/>
  <c r="AO16" i="5"/>
  <c r="AN16" i="5"/>
  <c r="AM16" i="5"/>
  <c r="AL16" i="5"/>
  <c r="AK16" i="5"/>
  <c r="AJ16" i="5"/>
  <c r="AI16" i="5"/>
  <c r="AP16" i="5" s="1"/>
  <c r="D16" i="5"/>
  <c r="C16" i="5"/>
  <c r="B16" i="5"/>
  <c r="A16" i="5"/>
  <c r="AO15" i="5"/>
  <c r="AN15" i="5"/>
  <c r="AP15" i="5" s="1"/>
  <c r="AM15" i="5"/>
  <c r="AL15" i="5"/>
  <c r="AK15" i="5"/>
  <c r="AJ15" i="5"/>
  <c r="AI15" i="5"/>
  <c r="D15" i="5"/>
  <c r="C15" i="5"/>
  <c r="B15" i="5"/>
  <c r="A15" i="5"/>
  <c r="AO14" i="5"/>
  <c r="AN14" i="5"/>
  <c r="AM14" i="5"/>
  <c r="AL14" i="5"/>
  <c r="AK14" i="5"/>
  <c r="AJ14" i="5"/>
  <c r="AI14" i="5"/>
  <c r="AP14" i="5" s="1"/>
  <c r="D14" i="5"/>
  <c r="C14" i="5"/>
  <c r="B14" i="5"/>
  <c r="A14" i="5"/>
  <c r="AO13" i="5"/>
  <c r="AN13" i="5"/>
  <c r="AP13" i="5" s="1"/>
  <c r="AM13" i="5"/>
  <c r="AL13" i="5"/>
  <c r="AK13" i="5"/>
  <c r="AJ13" i="5"/>
  <c r="AI13" i="5"/>
  <c r="D13" i="5"/>
  <c r="C13" i="5"/>
  <c r="B13" i="5"/>
  <c r="A13" i="5"/>
  <c r="AO12" i="5"/>
  <c r="AN12" i="5"/>
  <c r="AM12" i="5"/>
  <c r="AL12" i="5"/>
  <c r="AK12" i="5"/>
  <c r="AJ12" i="5"/>
  <c r="AI12" i="5"/>
  <c r="AP12" i="5" s="1"/>
  <c r="D12" i="5"/>
  <c r="C12" i="5"/>
  <c r="B12" i="5"/>
  <c r="A12" i="5"/>
  <c r="AO11" i="5"/>
  <c r="AN11" i="5"/>
  <c r="AP11" i="5" s="1"/>
  <c r="AM11" i="5"/>
  <c r="AL11" i="5"/>
  <c r="AK11" i="5"/>
  <c r="AJ11" i="5"/>
  <c r="AI11" i="5"/>
  <c r="D11" i="5"/>
  <c r="C11" i="5"/>
  <c r="B11" i="5"/>
  <c r="A11" i="5"/>
  <c r="AO10" i="5"/>
  <c r="AN10" i="5"/>
  <c r="AM10" i="5"/>
  <c r="AL10" i="5"/>
  <c r="AK10" i="5"/>
  <c r="AJ10" i="5"/>
  <c r="AI10" i="5"/>
  <c r="AP10" i="5" s="1"/>
  <c r="D10" i="5"/>
  <c r="C10" i="5"/>
  <c r="B10" i="5"/>
  <c r="A10" i="5"/>
  <c r="AO9" i="5"/>
  <c r="AN9" i="5"/>
  <c r="AP9" i="5" s="1"/>
  <c r="J22" i="7" s="1"/>
  <c r="AM9" i="5"/>
  <c r="AL9" i="5"/>
  <c r="AK9" i="5"/>
  <c r="AJ9" i="5"/>
  <c r="AI9" i="5"/>
  <c r="D9" i="5"/>
  <c r="C9" i="5"/>
  <c r="J20" i="7" s="1"/>
  <c r="B9" i="5"/>
  <c r="A9" i="5"/>
  <c r="AO8" i="5"/>
  <c r="AN8" i="5"/>
  <c r="AM8" i="5"/>
  <c r="AL8" i="5"/>
  <c r="AK8" i="5"/>
  <c r="AJ8" i="5"/>
  <c r="AI8" i="5"/>
  <c r="AP8" i="5" s="1"/>
  <c r="D8" i="5"/>
  <c r="C8" i="5"/>
  <c r="B8" i="5"/>
  <c r="A8" i="5"/>
  <c r="C5" i="5"/>
  <c r="B5" i="5"/>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AI27" i="4"/>
  <c r="D27" i="4"/>
  <c r="C27" i="4"/>
  <c r="B27" i="4"/>
  <c r="A27" i="4"/>
  <c r="AI26" i="4"/>
  <c r="D26" i="4"/>
  <c r="C26" i="4"/>
  <c r="B26" i="4"/>
  <c r="A26" i="4"/>
  <c r="AI25" i="4"/>
  <c r="D25" i="4"/>
  <c r="C25" i="4"/>
  <c r="B25" i="4"/>
  <c r="A25" i="4"/>
  <c r="AI24" i="4"/>
  <c r="D24" i="4"/>
  <c r="C24" i="4"/>
  <c r="B24" i="4"/>
  <c r="A24" i="4"/>
  <c r="AI23" i="4"/>
  <c r="D23" i="4"/>
  <c r="C23" i="4"/>
  <c r="B23" i="4"/>
  <c r="A23" i="4"/>
  <c r="AI22" i="4"/>
  <c r="D22" i="4"/>
  <c r="C22" i="4"/>
  <c r="B22" i="4"/>
  <c r="A22" i="4"/>
  <c r="AI21" i="4"/>
  <c r="D21" i="4"/>
  <c r="C21" i="4"/>
  <c r="B21" i="4"/>
  <c r="A21" i="4"/>
  <c r="AI20" i="4"/>
  <c r="D20" i="4"/>
  <c r="C20" i="4"/>
  <c r="B20" i="4"/>
  <c r="A20" i="4"/>
  <c r="AI19" i="4"/>
  <c r="D19" i="4"/>
  <c r="C19" i="4"/>
  <c r="B19" i="4"/>
  <c r="A19" i="4"/>
  <c r="AI18" i="4"/>
  <c r="D18" i="4"/>
  <c r="C18" i="4"/>
  <c r="B18" i="4"/>
  <c r="A18" i="4"/>
  <c r="AI17" i="4"/>
  <c r="D17" i="4"/>
  <c r="C17" i="4"/>
  <c r="B17" i="4"/>
  <c r="A17" i="4"/>
  <c r="AI16" i="4"/>
  <c r="D16" i="4"/>
  <c r="C16" i="4"/>
  <c r="B16" i="4"/>
  <c r="A16" i="4"/>
  <c r="AI15" i="4"/>
  <c r="D15" i="4"/>
  <c r="C15" i="4"/>
  <c r="B15" i="4"/>
  <c r="A15" i="4"/>
  <c r="AI14" i="4"/>
  <c r="D14" i="4"/>
  <c r="C14" i="4"/>
  <c r="B14" i="4"/>
  <c r="A14" i="4"/>
  <c r="AI13" i="4"/>
  <c r="D13" i="4"/>
  <c r="C13" i="4"/>
  <c r="B13" i="4"/>
  <c r="A13" i="4"/>
  <c r="AI12" i="4"/>
  <c r="D12" i="4"/>
  <c r="C12" i="4"/>
  <c r="B12" i="4"/>
  <c r="A12" i="4"/>
  <c r="AI11" i="4"/>
  <c r="D11" i="4"/>
  <c r="C11" i="4"/>
  <c r="B11" i="4"/>
  <c r="A11" i="4"/>
  <c r="AI10" i="4"/>
  <c r="D10" i="4"/>
  <c r="C10" i="4"/>
  <c r="B10" i="4"/>
  <c r="A10" i="4"/>
  <c r="AI9" i="4"/>
  <c r="D9" i="4"/>
  <c r="C9" i="4"/>
  <c r="B9" i="4"/>
  <c r="A9" i="4"/>
  <c r="AI8" i="4"/>
  <c r="D8" i="4"/>
  <c r="C8" i="4"/>
  <c r="B8" i="4"/>
  <c r="A8" i="4"/>
  <c r="F47" i="3"/>
  <c r="D47" i="3"/>
  <c r="B47" i="3"/>
  <c r="J18" i="7" l="1"/>
  <c r="F11" i="7"/>
  <c r="L8" i="6"/>
  <c r="J15" i="7"/>
  <c r="O8" i="6"/>
  <c r="F14" i="6"/>
  <c r="I13" i="6"/>
  <c r="L20" i="6"/>
  <c r="L12" i="6"/>
  <c r="L23" i="6"/>
  <c r="O24" i="6"/>
  <c r="I26" i="6"/>
  <c r="K8" i="6"/>
  <c r="H13" i="6"/>
  <c r="K16" i="6"/>
  <c r="L16" i="6" s="1"/>
  <c r="H21" i="6"/>
  <c r="I21" i="6" s="1"/>
  <c r="K24" i="6"/>
  <c r="L24" i="6" s="1"/>
  <c r="J16" i="7"/>
  <c r="K18" i="7"/>
  <c r="K20" i="7"/>
  <c r="K23" i="6"/>
  <c r="E8" i="6"/>
  <c r="F8" i="6" s="1"/>
  <c r="K14" i="6"/>
  <c r="L14" i="6" s="1"/>
  <c r="E16" i="6"/>
  <c r="F16" i="6" s="1"/>
  <c r="K22" i="6"/>
  <c r="L22" i="6" s="1"/>
  <c r="E24" i="6"/>
  <c r="F24" i="6" s="1"/>
  <c r="K15" i="6"/>
  <c r="L15" i="6" s="1"/>
  <c r="E7" i="6"/>
  <c r="F7" i="6" s="1"/>
  <c r="N8" i="6"/>
  <c r="K13" i="6"/>
  <c r="L13" i="6" s="1"/>
  <c r="E15" i="6"/>
  <c r="F15" i="6" s="1"/>
  <c r="N16" i="6"/>
  <c r="O16" i="6" s="1"/>
  <c r="K21" i="6"/>
  <c r="L21" i="6" s="1"/>
  <c r="E23" i="6"/>
  <c r="F23" i="6" s="1"/>
  <c r="N24" i="6"/>
  <c r="J17" i="7"/>
  <c r="J19" i="7"/>
  <c r="J21" i="7"/>
  <c r="K7" i="6"/>
  <c r="L7" i="6" s="1"/>
  <c r="E14" i="6"/>
  <c r="E22" i="6"/>
  <c r="F22" i="6" s="1"/>
  <c r="K17" i="7"/>
  <c r="K19" i="7"/>
  <c r="K16" i="7" l="1"/>
  <c r="K22" i="7"/>
</calcChain>
</file>

<file path=xl/sharedStrings.xml><?xml version="1.0" encoding="utf-8"?>
<sst xmlns="http://schemas.openxmlformats.org/spreadsheetml/2006/main" count="1760" uniqueCount="348">
  <si>
    <t>PATHCARE DIAGNOSTICS  ·  Pathology Laboratory</t>
  </si>
  <si>
    <t>EMPLOYEE ATTENDANCE &amp; ROSTER MANAGEMENT</t>
  </si>
  <si>
    <t>Workforce HR system  ·  Single source of truth for staff, shifts, attendance &amp; leave</t>
  </si>
  <si>
    <t>WORKBOOK NAVIGATION</t>
  </si>
  <si>
    <t>Sheet</t>
  </si>
  <si>
    <t>Purpose</t>
  </si>
  <si>
    <t>Edit here?</t>
  </si>
  <si>
    <t>01_Config</t>
  </si>
  <si>
    <t>Shifts, attendance codes, leave types, departments, public holidays, leave policy.</t>
  </si>
  <si>
    <t>Yes — setup only</t>
  </si>
  <si>
    <t>02_Employee_Master</t>
  </si>
  <si>
    <t>Master employee register. All other sheets pull names/IDs from here.</t>
  </si>
  <si>
    <t>Yes — HR master</t>
  </si>
  <si>
    <t>03_Roster</t>
  </si>
  <si>
    <t>Monthly shift roster: M / E / N / WO / PH / LV. Swaps, backup, OT hours.</t>
  </si>
  <si>
    <t>Yes — Lab Manager</t>
  </si>
  <si>
    <t>04_Attendance</t>
  </si>
  <si>
    <t>Daily attendance marks linked to roster month. Color-coded statuses.</t>
  </si>
  <si>
    <t>Yes — daily mark</t>
  </si>
  <si>
    <t>05_Leave</t>
  </si>
  <si>
    <t>Leave applications, balances, approval workflow, manager remarks.</t>
  </si>
  <si>
    <t>Yes — leave desk</t>
  </si>
  <si>
    <t>06_Dashboard</t>
  </si>
  <si>
    <t>Live KPIs, shift headcount, dept stats, trends. Formula-driven — do not type.</t>
  </si>
  <si>
    <t>No — auto</t>
  </si>
  <si>
    <t>OPERATING RULES
1. Maintain employees only on Employee Master (Active/Inactive). Never duplicate names on other sheets.
2. Set the working Month / Year on Roster (cells B5 / D5). Attendance uses the same month.
3. Mark roster first (shifts &amp; weekly offs). Then mark daily attendance — or copy roster WO/PH into attendance.
4. Leave sheet updates balances; Approved leave should be reflected as PL/SL/VL on Attendance.
5. Dashboard refreshes automatically. Print Dashboard or Roster in landscape A4 for management reviews.
6. Sample data is for PathCare Diagnostics (illustrative). Replace with your lab’s real staff and holidays.</t>
  </si>
  <si>
    <t>CURRENT PERIOD</t>
  </si>
  <si>
    <t>September 2026</t>
  </si>
  <si>
    <t>Active headcount (sample)</t>
  </si>
  <si>
    <t>SYSTEM CONFIGURATION</t>
  </si>
  <si>
    <t>Controlled lists for drop-downs  ·  Change carefully — used across the workbook</t>
  </si>
  <si>
    <t>SHIFT CODES</t>
  </si>
  <si>
    <t>ATTENDANCE CODES</t>
  </si>
  <si>
    <t>Code</t>
  </si>
  <si>
    <t>Shift</t>
  </si>
  <si>
    <t>Timing</t>
  </si>
  <si>
    <t>Meaning</t>
  </si>
  <si>
    <t>Fill</t>
  </si>
  <si>
    <t>Font</t>
  </si>
  <si>
    <t>M</t>
  </si>
  <si>
    <t>Morning</t>
  </si>
  <si>
    <t>06:00–14:00</t>
  </si>
  <si>
    <t>P</t>
  </si>
  <si>
    <t>Present</t>
  </si>
  <si>
    <t>D4EDDA</t>
  </si>
  <si>
    <t>1B7A4E</t>
  </si>
  <si>
    <t>E</t>
  </si>
  <si>
    <t>Evening</t>
  </si>
  <si>
    <t>14:00–22:00</t>
  </si>
  <si>
    <t>A</t>
  </si>
  <si>
    <t>Absent</t>
  </si>
  <si>
    <t>F8D7DA</t>
  </si>
  <si>
    <t>B71C1C</t>
  </si>
  <si>
    <t>N</t>
  </si>
  <si>
    <t>Night</t>
  </si>
  <si>
    <t>22:00–06:00</t>
  </si>
  <si>
    <t>L</t>
  </si>
  <si>
    <t>Late Coming</t>
  </si>
  <si>
    <t>FFF3CD</t>
  </si>
  <si>
    <t>B78103</t>
  </si>
  <si>
    <t>WO</t>
  </si>
  <si>
    <t>Weekly Off</t>
  </si>
  <si>
    <t>—</t>
  </si>
  <si>
    <t>HD</t>
  </si>
  <si>
    <t>Half Day</t>
  </si>
  <si>
    <t>FFE0B2</t>
  </si>
  <si>
    <t>E65100</t>
  </si>
  <si>
    <t>PH</t>
  </si>
  <si>
    <t>Public Holiday</t>
  </si>
  <si>
    <t>WFO</t>
  </si>
  <si>
    <t>Work From Office</t>
  </si>
  <si>
    <t>D6E4F0</t>
  </si>
  <si>
    <t>0D47A1</t>
  </si>
  <si>
    <t>LV</t>
  </si>
  <si>
    <t>Leave</t>
  </si>
  <si>
    <t>PL</t>
  </si>
  <si>
    <t>Planned Leave</t>
  </si>
  <si>
    <t>EDE7F6</t>
  </si>
  <si>
    <t>5E35B1</t>
  </si>
  <si>
    <t>TR</t>
  </si>
  <si>
    <t>Training</t>
  </si>
  <si>
    <t>UL</t>
  </si>
  <si>
    <t>Unscheduled Leave</t>
  </si>
  <si>
    <t>FCE4EC</t>
  </si>
  <si>
    <t>AD1457</t>
  </si>
  <si>
    <t>VL</t>
  </si>
  <si>
    <t>Vacation Leave</t>
  </si>
  <si>
    <t>E0F7FA</t>
  </si>
  <si>
    <t>00838F</t>
  </si>
  <si>
    <t>SL</t>
  </si>
  <si>
    <t>Sick Leave</t>
  </si>
  <si>
    <t>FFEBEE</t>
  </si>
  <si>
    <t>C62828</t>
  </si>
  <si>
    <t>DEPARTMENTS</t>
  </si>
  <si>
    <t>DESIGNATIONS</t>
  </si>
  <si>
    <t>EMPLOYMENT TYPE</t>
  </si>
  <si>
    <t>SHIFT ELIGIBILITY</t>
  </si>
  <si>
    <t>LEAVE TYPES</t>
  </si>
  <si>
    <t>LEAVE STATUS</t>
  </si>
  <si>
    <t>EMPLOYEE STATUS</t>
  </si>
  <si>
    <t>Hematology</t>
  </si>
  <si>
    <t>Lab Manager</t>
  </si>
  <si>
    <t>Permanent</t>
  </si>
  <si>
    <t>All Shifts</t>
  </si>
  <si>
    <t>Pending</t>
  </si>
  <si>
    <t>Active</t>
  </si>
  <si>
    <t>Biochemistry</t>
  </si>
  <si>
    <t>Pathologist</t>
  </si>
  <si>
    <t>Contract</t>
  </si>
  <si>
    <t>Morning Only</t>
  </si>
  <si>
    <t>Unplanned Leave</t>
  </si>
  <si>
    <t>Approved</t>
  </si>
  <si>
    <t>Inactive</t>
  </si>
  <si>
    <t>Microbiology</t>
  </si>
  <si>
    <t>Senior Lab Technologist</t>
  </si>
  <si>
    <t>Trainee</t>
  </si>
  <si>
    <t>Morning/Evening</t>
  </si>
  <si>
    <t>Rejected</t>
  </si>
  <si>
    <t>Histopathology</t>
  </si>
  <si>
    <t>Lab Technologist</t>
  </si>
  <si>
    <t>Part-time</t>
  </si>
  <si>
    <t>Night Eligible</t>
  </si>
  <si>
    <t>Cancelled</t>
  </si>
  <si>
    <t>Phlebotomy</t>
  </si>
  <si>
    <t>Lab Assistant</t>
  </si>
  <si>
    <t>Sample Receiving</t>
  </si>
  <si>
    <t>Phlebotomist</t>
  </si>
  <si>
    <t>Quality Assurance</t>
  </si>
  <si>
    <t>QA Officer</t>
  </si>
  <si>
    <t>Administration</t>
  </si>
  <si>
    <t>Receptionist</t>
  </si>
  <si>
    <t>PUBLIC HOLIDAYS (update annually)</t>
  </si>
  <si>
    <t>LEAVE POLICY (annual entitlement days)</t>
  </si>
  <si>
    <t>Date</t>
  </si>
  <si>
    <t>Holiday Name</t>
  </si>
  <si>
    <t>Applies</t>
  </si>
  <si>
    <t>Leave Type</t>
  </si>
  <si>
    <t>Annual Days</t>
  </si>
  <si>
    <t>Carry Forward</t>
  </si>
  <si>
    <t>Notes</t>
  </si>
  <si>
    <t>Republic Day</t>
  </si>
  <si>
    <t>Yes</t>
  </si>
  <si>
    <t>Max 5</t>
  </si>
  <si>
    <t>Requires prior approval</t>
  </si>
  <si>
    <t>Holi</t>
  </si>
  <si>
    <t>No</t>
  </si>
  <si>
    <t>Inform same day</t>
  </si>
  <si>
    <t>Independence Day</t>
  </si>
  <si>
    <t>Medical certificate &gt; 2 days</t>
  </si>
  <si>
    <t>Gandhi Jayanti</t>
  </si>
  <si>
    <t>Max 7</t>
  </si>
  <si>
    <t>Plan 15 days ahead</t>
  </si>
  <si>
    <t>Diwali</t>
  </si>
  <si>
    <t>Christmas</t>
  </si>
  <si>
    <t>EMPLOYEE MASTER REGISTER</t>
  </si>
  <si>
    <t>Single source of truth  ·  Roster, Attendance, Leave &amp; Dashboard reference this sheet</t>
  </si>
  <si>
    <t>Employee ID</t>
  </si>
  <si>
    <t>Employee Name</t>
  </si>
  <si>
    <t>Designation</t>
  </si>
  <si>
    <t>Department</t>
  </si>
  <si>
    <t>Reporting Manager</t>
  </si>
  <si>
    <t>Date of Joining</t>
  </si>
  <si>
    <t>Employment Type</t>
  </si>
  <si>
    <t>Shift Eligibility</t>
  </si>
  <si>
    <t>Contact Number</t>
  </si>
  <si>
    <t>Email ID</t>
  </si>
  <si>
    <t>Emergency Contact</t>
  </si>
  <si>
    <t>Status</t>
  </si>
  <si>
    <t>PL-001</t>
  </si>
  <si>
    <t>Dr. Ananya Mehta</t>
  </si>
  <si>
    <t>Lab Director</t>
  </si>
  <si>
    <t>9876543210</t>
  </si>
  <si>
    <t>ananya.mehta@pathlab.example</t>
  </si>
  <si>
    <t>Rajesh Mehta — 9876500001</t>
  </si>
  <si>
    <t>PL-002</t>
  </si>
  <si>
    <t>Vikram Singh</t>
  </si>
  <si>
    <t>9876543211</t>
  </si>
  <si>
    <t>vikram.singh@pathlab.example</t>
  </si>
  <si>
    <t>Priya Singh — 9876500002</t>
  </si>
  <si>
    <t>PL-003</t>
  </si>
  <si>
    <t>Sneha Patel</t>
  </si>
  <si>
    <t>9876543212</t>
  </si>
  <si>
    <t>sneha.patel@pathlab.example</t>
  </si>
  <si>
    <t>Amit Patel — 9876500003</t>
  </si>
  <si>
    <t>PL-004</t>
  </si>
  <si>
    <t>Rahul Nair</t>
  </si>
  <si>
    <t>9876543213</t>
  </si>
  <si>
    <t>rahul.nair@pathlab.example</t>
  </si>
  <si>
    <t>Deepa Nair — 9876500004</t>
  </si>
  <si>
    <t>PL-005</t>
  </si>
  <si>
    <t>Fatima Khan</t>
  </si>
  <si>
    <t>9876543214</t>
  </si>
  <si>
    <t>fatima.khan@pathlab.example</t>
  </si>
  <si>
    <t>Imran Khan — 9876500005</t>
  </si>
  <si>
    <t>PL-006</t>
  </si>
  <si>
    <t>Arjun Reddy</t>
  </si>
  <si>
    <t>9876543215</t>
  </si>
  <si>
    <t>arjun.reddy@pathlab.example</t>
  </si>
  <si>
    <t>Kavitha Reddy — 9876500006</t>
  </si>
  <si>
    <t>PL-007</t>
  </si>
  <si>
    <t>Meera Iyer</t>
  </si>
  <si>
    <t>9876543216</t>
  </si>
  <si>
    <t>meera.iyer@pathlab.example</t>
  </si>
  <si>
    <t>Suresh Iyer — 9876500007</t>
  </si>
  <si>
    <t>PL-008</t>
  </si>
  <si>
    <t>Karan Malhotra</t>
  </si>
  <si>
    <t>9876543217</t>
  </si>
  <si>
    <t>karan.malhotra@pathlab.example</t>
  </si>
  <si>
    <t>Neha Malhotra — 9876500008</t>
  </si>
  <si>
    <t>PL-009</t>
  </si>
  <si>
    <t>Pooja Sharma</t>
  </si>
  <si>
    <t>9876543218</t>
  </si>
  <si>
    <t>pooja.sharma@pathlab.example</t>
  </si>
  <si>
    <t>Ravi Sharma — 9876500009</t>
  </si>
  <si>
    <t>PL-010</t>
  </si>
  <si>
    <t>Mohammed Irfan</t>
  </si>
  <si>
    <t>9876543219</t>
  </si>
  <si>
    <t>m.irfan@pathlab.example</t>
  </si>
  <si>
    <t>Ayesha Irfan — 9876500010</t>
  </si>
  <si>
    <t>PL-011</t>
  </si>
  <si>
    <t>Lakshmi Devi</t>
  </si>
  <si>
    <t>9876543220</t>
  </si>
  <si>
    <t>lakshmi.devi@pathlab.example</t>
  </si>
  <si>
    <t>Venkat Devi — 9876500011</t>
  </si>
  <si>
    <t>PL-012</t>
  </si>
  <si>
    <t>Suresh Kumar</t>
  </si>
  <si>
    <t>9876543221</t>
  </si>
  <si>
    <t>suresh.kumar@pathlab.example</t>
  </si>
  <si>
    <t>Anita Kumar — 9876500012</t>
  </si>
  <si>
    <t>PL-013</t>
  </si>
  <si>
    <t>Nisha Gupta</t>
  </si>
  <si>
    <t>9876543222</t>
  </si>
  <si>
    <t>nisha.gupta@pathlab.example</t>
  </si>
  <si>
    <t>Anil Gupta — 9876500013</t>
  </si>
  <si>
    <t>PL-014</t>
  </si>
  <si>
    <t>Deepak Joshi</t>
  </si>
  <si>
    <t>9876543223</t>
  </si>
  <si>
    <t>deepak.joshi@pathlab.example</t>
  </si>
  <si>
    <t>Sunita Joshi — 9876500014</t>
  </si>
  <si>
    <t>PL-015</t>
  </si>
  <si>
    <t>Anjali Verma</t>
  </si>
  <si>
    <t>9876543224</t>
  </si>
  <si>
    <t>anjali.verma@pathlab.example</t>
  </si>
  <si>
    <t>Rohit Verma — 9876500015</t>
  </si>
  <si>
    <t>PL-016</t>
  </si>
  <si>
    <t>Ravi Teja</t>
  </si>
  <si>
    <t>9876543225</t>
  </si>
  <si>
    <t>ravi.teja@pathlab.example</t>
  </si>
  <si>
    <t>Sita Teja — 9876500016</t>
  </si>
  <si>
    <t>PL-017</t>
  </si>
  <si>
    <t>Geeta Rao</t>
  </si>
  <si>
    <t>9876543226</t>
  </si>
  <si>
    <t>geeta.rao@pathlab.example</t>
  </si>
  <si>
    <t>Mohan Rao — 9876500017</t>
  </si>
  <si>
    <t>PL-018</t>
  </si>
  <si>
    <t>Imran Sheikh</t>
  </si>
  <si>
    <t>9876543227</t>
  </si>
  <si>
    <t>imran.sheikh@pathlab.example</t>
  </si>
  <si>
    <t>Farah Sheikh — 9876500018</t>
  </si>
  <si>
    <t>PL-019</t>
  </si>
  <si>
    <t>Kavya Menon</t>
  </si>
  <si>
    <t>9876543228</t>
  </si>
  <si>
    <t>kavya.menon@pathlab.example</t>
  </si>
  <si>
    <t>Arun Menon — 9876500019</t>
  </si>
  <si>
    <t>PL-020</t>
  </si>
  <si>
    <t>Thomas Mathew</t>
  </si>
  <si>
    <t>9876543229</t>
  </si>
  <si>
    <t>thomas.mathew@pathlab.example</t>
  </si>
  <si>
    <t>Mary Mathew — 9876500020</t>
  </si>
  <si>
    <t>Total rows</t>
  </si>
  <si>
    <t>MONTHLY SHIFT ROSTER</t>
  </si>
  <si>
    <t>Pathology Lab scheduling  ·  M Morning · E Evening · N Night · WO Weekly Off · PH Holiday · LV Leave</t>
  </si>
  <si>
    <t>Month</t>
  </si>
  <si>
    <t>Year</t>
  </si>
  <si>
    <t>Instructions: Set Month (1–12) &amp; Year. Mark each day with M/E/N/WO/PH/LV/TR. Use Backup &amp; Swap columns for coverage.</t>
  </si>
  <si>
    <t>Emp ID</t>
  </si>
  <si>
    <t>WO Days</t>
  </si>
  <si>
    <t>OT Hours</t>
  </si>
  <si>
    <t>Backup Resource</t>
  </si>
  <si>
    <t>Shift Swap / Notes</t>
  </si>
  <si>
    <t>Remarks</t>
  </si>
  <si>
    <t>T</t>
  </si>
  <si>
    <t>W</t>
  </si>
  <si>
    <t>F</t>
  </si>
  <si>
    <t>S</t>
  </si>
  <si>
    <t>Morning (M) headcount</t>
  </si>
  <si>
    <t>Evening (E) headcount</t>
  </si>
  <si>
    <t>Night (N) headcount</t>
  </si>
  <si>
    <t>DAILY ATTENDANCE REGISTER</t>
  </si>
  <si>
    <t>Mark P / A / L / HD / WFO / PL / UL / VL / SL / H / WO / OT  ·  Color-coded  ·  Linked to Employee Master</t>
  </si>
  <si>
    <t>Period</t>
  </si>
  <si>
    <t>Legend: P Present · A Absent · L Late · HD Half Day · WFO Work From Office · PL/UL/VL/SL Leave · H Holiday · WO Off · OT Overtime</t>
  </si>
  <si>
    <t>Late</t>
  </si>
  <si>
    <t>WO/H</t>
  </si>
  <si>
    <t>OT Hrs</t>
  </si>
  <si>
    <t>Att %</t>
  </si>
  <si>
    <t>Present headcount (P+L+WFO+OT)</t>
  </si>
  <si>
    <t>LEAVE MANAGEMENT</t>
  </si>
  <si>
    <t>Applications · Balances · Approvals  ·  Entitlements from Config leave policy</t>
  </si>
  <si>
    <t>LEAVE BALANCE SUMMARY (auto from policy + applications)</t>
  </si>
  <si>
    <t>PL Entitled</t>
  </si>
  <si>
    <t>PL Used</t>
  </si>
  <si>
    <t>PL Balance</t>
  </si>
  <si>
    <t>UL Entitled</t>
  </si>
  <si>
    <t>UL Used</t>
  </si>
  <si>
    <t>UL Balance</t>
  </si>
  <si>
    <t>SL Entitled</t>
  </si>
  <si>
    <t>SL Used</t>
  </si>
  <si>
    <t>SL Balance</t>
  </si>
  <si>
    <t>VL Entitled</t>
  </si>
  <si>
    <t>VL Used</t>
  </si>
  <si>
    <t>VL Balance</t>
  </si>
  <si>
    <t>LEAVE APPLICATIONS &amp; APPROVAL WORKFLOW</t>
  </si>
  <si>
    <t>Days</t>
  </si>
  <si>
    <t>From Date</t>
  </si>
  <si>
    <t>To Date</t>
  </si>
  <si>
    <t>Approval Status</t>
  </si>
  <si>
    <t>Approver</t>
  </si>
  <si>
    <t>Manager Remarks</t>
  </si>
  <si>
    <t>Family function — approved</t>
  </si>
  <si>
    <t>Fever — certificate received</t>
  </si>
  <si>
    <t>Emergency at home</t>
  </si>
  <si>
    <t>Short staffing on that day</t>
  </si>
  <si>
    <t>Medical advice</t>
  </si>
  <si>
    <t>OK</t>
  </si>
  <si>
    <t>Awaiting confirmation</t>
  </si>
  <si>
    <t>WORKFORCE DASHBOARD</t>
  </si>
  <si>
    <t>Live management view  ·  September 2026  ·  Formula-driven from Master / Roster / Attendance / Leave</t>
  </si>
  <si>
    <t>KEY PERFORMANCE INDICATORS</t>
  </si>
  <si>
    <t>TOTAL EMPLOYEES</t>
  </si>
  <si>
    <t>ACTIVE STAFF</t>
  </si>
  <si>
    <t>INACTIVE</t>
  </si>
  <si>
    <t>ON LEAVE (apps)</t>
  </si>
  <si>
    <t>PENDING LEAVE</t>
  </si>
  <si>
    <t>ATTENDANCE SNAPSHOT — Day 15 of month (change formula day refs as needed)</t>
  </si>
  <si>
    <t>On Leave</t>
  </si>
  <si>
    <t>Att % (month avg)</t>
  </si>
  <si>
    <t>SHIFT-WISE HEADCOUNT — Roster Day 15</t>
  </si>
  <si>
    <t>DEPARTMENT-WISE ACTIVE HEADCOUNT</t>
  </si>
  <si>
    <t>Avg Att %</t>
  </si>
  <si>
    <t>On Leave (bal SL used)</t>
  </si>
  <si>
    <t>LEAVE SUMMARY (this period)</t>
  </si>
  <si>
    <t>Approved applications</t>
  </si>
  <si>
    <t>Pending approvals</t>
  </si>
  <si>
    <t>Total leave days approved</t>
  </si>
  <si>
    <t>MONTHLY ATTENDANCE TREND (Present headcount by day)</t>
  </si>
  <si>
    <t>Day</t>
  </si>
  <si>
    <t>Manager tip: Update Employee Master and mark Roster + Attendance daily. Dashboard KPIs and charts recalculate automatically. Snapshot formulas currently reference Day 15; change the column letter in those formulas for another day. Print this sheet in landscape for monthly lab operations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</si>
</sst>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9"/>
      <color rgb="FF0E7C7B"/>
      <name val="Calibri"/>
      <family val="2"/>
    </font>
    <font>
      <b/>
      <sz val="18"/>
      <color rgb="FFFFFFFF"/>
      <name val="Calibri"/>
      <family val="2"/>
    </font>
    <font>
      <sz val="11"/>
      <color rgb="FFA8C5C4"/>
      <name val="Calibri"/>
      <family val="2"/>
    </font>
    <font>
      <b/>
      <sz val="10"/>
      <color rgb="FFFFFFFF"/>
      <name val="Calibri"/>
      <family val="2"/>
    </font>
    <font>
      <b/>
      <sz val="10"/>
      <color rgb="FF1A2332"/>
      <name val="Calibri"/>
      <family val="2"/>
    </font>
    <font>
      <sz val="10"/>
      <color rgb="FF1A2332"/>
      <name val="Calibri"/>
      <family val="2"/>
    </font>
    <font>
      <b/>
      <sz val="12"/>
      <color rgb="FF0D2137"/>
      <name val="Calibri"/>
      <family val="2"/>
    </font>
    <font>
      <sz val="9"/>
      <color rgb="FF5A6A7A"/>
      <name val="Calibri"/>
      <family val="2"/>
    </font>
    <font>
      <i/>
      <sz val="10"/>
      <color rgb="FF9E9E9E"/>
      <name val="Calibri"/>
      <family val="2"/>
    </font>
    <font>
      <b/>
      <sz val="8"/>
      <color rgb="FFFFFFFF"/>
      <name val="Calibri"/>
      <family val="2"/>
    </font>
    <font>
      <b/>
      <sz val="9"/>
      <color rgb="FF1A2332"/>
      <name val="Calibri"/>
      <family val="2"/>
    </font>
    <font>
      <b/>
      <sz val="8"/>
      <name val="Calibri"/>
      <family val="2"/>
    </font>
    <font>
      <b/>
      <sz val="20"/>
      <color rgb="FF0D2137"/>
      <name val="Calibri"/>
      <family val="2"/>
    </font>
    <font>
      <sz val="11"/>
      <color theme="3"/>
      <name val="Calibri"/>
      <family val="2"/>
      <scheme val="minor"/>
    </font>
    <font>
      <b/>
      <sz val="10"/>
      <color theme="3"/>
      <name val="Calibri"/>
      <family val="2"/>
    </font>
    <font>
      <b/>
      <sz val="22"/>
      <color theme="3"/>
      <name val="Calibri"/>
      <family val="2"/>
    </font>
    <font>
      <sz val="10"/>
      <color theme="3"/>
      <name val="Calibri"/>
      <family val="2"/>
    </font>
    <font>
      <b/>
      <sz val="12"/>
      <color theme="3"/>
      <name val="Calibri"/>
      <family val="2"/>
    </font>
    <font>
      <sz val="9"/>
      <color theme="3"/>
      <name val="Calibri"/>
      <family val="2"/>
    </font>
    <font>
      <b/>
      <sz val="9"/>
      <color theme="3"/>
      <name val="Calibri"/>
      <family val="2"/>
    </font>
    <font>
      <b/>
      <sz val="18"/>
      <color theme="3"/>
      <name val="Calibri"/>
      <family val="2"/>
    </font>
    <font>
      <sz val="11"/>
      <color theme="3"/>
      <name val="Calibri"/>
      <family val="2"/>
    </font>
    <font>
      <b/>
      <sz val="8"/>
      <color theme="3"/>
      <name val="Calibri"/>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4" fillId="0" borderId="0" xfId="0" applyFont="1"/>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xf numFmtId="0" fontId="5"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5" fillId="0" borderId="0" xfId="0" applyFont="1"/>
    <xf numFmtId="0" fontId="7"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2" fillId="0" borderId="0" xfId="0" applyFont="1" applyAlignment="1">
      <alignment horizontal="left" vertical="center" indent="1"/>
    </xf>
    <xf numFmtId="0" fontId="0" fillId="0" borderId="0" xfId="0"/>
    <xf numFmtId="0" fontId="4" fillId="0" borderId="0" xfId="0" applyFont="1"/>
    <xf numFmtId="0" fontId="1" fillId="0" borderId="0" xfId="0" applyFont="1" applyAlignment="1">
      <alignment horizontal="left" vertical="center" indent="1"/>
    </xf>
    <xf numFmtId="0" fontId="6" fillId="0" borderId="0" xfId="0" applyFont="1" applyAlignment="1">
      <alignment vertical="top" wrapText="1"/>
    </xf>
    <xf numFmtId="0" fontId="3" fillId="0" borderId="0" xfId="0" applyFont="1" applyAlignment="1">
      <alignment horizontal="left" vertical="center" indent="1"/>
    </xf>
    <xf numFmtId="0" fontId="4" fillId="0" borderId="0" xfId="0" applyFont="1" applyAlignment="1">
      <alignment horizontal="right" vertical="center" indent="1"/>
    </xf>
    <xf numFmtId="0" fontId="8" fillId="0" borderId="0" xfId="0" applyFont="1"/>
    <xf numFmtId="0" fontId="14" fillId="0" borderId="0" xfId="0" applyFont="1"/>
    <xf numFmtId="0" fontId="15"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left" vertical="center" wrapText="1"/>
    </xf>
    <xf numFmtId="0" fontId="14" fillId="0" borderId="0" xfId="0" applyFont="1" applyAlignment="1">
      <alignment horizontal="center" vertical="center" wrapText="1"/>
    </xf>
    <xf numFmtId="0" fontId="15" fillId="0" borderId="0" xfId="0" applyFont="1"/>
    <xf numFmtId="0" fontId="14" fillId="0" borderId="0" xfId="0" applyFont="1"/>
    <xf numFmtId="0" fontId="18" fillId="0" borderId="0" xfId="0" applyFont="1" applyAlignment="1">
      <alignment horizontal="center" vertical="center" wrapText="1"/>
    </xf>
    <xf numFmtId="0" fontId="15" fillId="0" borderId="0" xfId="0" applyFont="1"/>
    <xf numFmtId="0" fontId="17" fillId="0" borderId="0" xfId="0" applyFont="1" applyAlignment="1">
      <alignment horizontal="center" vertical="center" wrapText="1"/>
    </xf>
    <xf numFmtId="0" fontId="19" fillId="0" borderId="0" xfId="0" applyFont="1" applyAlignment="1">
      <alignment vertical="top" wrapText="1"/>
    </xf>
    <xf numFmtId="0" fontId="20" fillId="0" borderId="0" xfId="0" applyFont="1" applyAlignment="1">
      <alignment horizontal="left" vertical="center" indent="1"/>
    </xf>
    <xf numFmtId="0" fontId="21" fillId="0" borderId="0" xfId="0" applyFont="1" applyAlignment="1">
      <alignment horizontal="left" vertical="center" indent="1"/>
    </xf>
    <xf numFmtId="0" fontId="22" fillId="0" borderId="0" xfId="0" applyFont="1" applyAlignment="1">
      <alignment horizontal="left" vertical="center" indent="1"/>
    </xf>
    <xf numFmtId="0" fontId="20" fillId="0" borderId="0" xfId="0" applyFont="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xf numFmtId="0" fontId="17" fillId="0" borderId="1" xfId="0" applyFont="1" applyBorder="1" applyAlignment="1">
      <alignment horizontal="left" vertical="center" wrapText="1"/>
    </xf>
    <xf numFmtId="0" fontId="1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4" fillId="2" borderId="1" xfId="0" applyFont="1" applyFill="1" applyBorder="1"/>
    <xf numFmtId="0" fontId="19" fillId="0" borderId="0" xfId="0" applyFont="1" applyAlignment="1">
      <alignment horizontal="left" vertical="center" wrapText="1"/>
    </xf>
    <xf numFmtId="0" fontId="23" fillId="0" borderId="0" xfId="0" applyFont="1" applyAlignment="1">
      <alignment horizontal="center" vertical="center" wrapText="1"/>
    </xf>
  </cellXfs>
  <cellStyles count="1">
    <cellStyle name="Normal" xfId="0" builtinId="0"/>
  </cellStyles>
  <dxfs count="29">
    <dxf>
      <font>
        <i/>
        <sz val="10"/>
        <color rgb="FF607D8B"/>
        <name val="Calibri"/>
      </font>
      <fill>
        <patternFill patternType="solid">
          <fgColor rgb="FFECEFF1"/>
        </patternFill>
      </fill>
    </dxf>
    <dxf>
      <font>
        <b/>
        <sz val="10"/>
        <color rgb="FFB71C1C"/>
        <name val="Calibri"/>
      </font>
      <fill>
        <patternFill patternType="solid">
          <fgColor rgb="FFF8D7DA"/>
        </patternFill>
      </fill>
    </dxf>
    <dxf>
      <font>
        <b/>
        <sz val="10"/>
        <color rgb="FFB78103"/>
        <name val="Calibri"/>
      </font>
      <fill>
        <patternFill patternType="solid">
          <fgColor rgb="FFFFF3CD"/>
        </patternFill>
      </fill>
    </dxf>
    <dxf>
      <font>
        <b/>
        <sz val="10"/>
        <color rgb="FF1B7A4E"/>
        <name val="Calibri"/>
      </font>
      <fill>
        <patternFill patternType="solid">
          <fgColor rgb="FFD4EDDA"/>
        </patternFill>
      </fill>
    </dxf>
    <dxf>
      <font>
        <b/>
        <sz val="10"/>
        <color rgb="FFB78103"/>
        <name val="Calibri"/>
      </font>
      <fill>
        <patternFill patternType="solid">
          <fgColor rgb="FFFFF3CD"/>
        </patternFill>
      </fill>
    </dxf>
    <dxf>
      <font>
        <b/>
        <sz val="10"/>
        <color rgb="FFB78103"/>
        <name val="Calibri"/>
      </font>
      <fill>
        <patternFill patternType="solid">
          <fgColor rgb="FFFFF3CD"/>
        </patternFill>
      </fill>
    </dxf>
    <dxf>
      <font>
        <b/>
        <sz val="10"/>
        <color rgb="FFB78103"/>
        <name val="Calibri"/>
      </font>
      <fill>
        <patternFill patternType="solid">
          <fgColor rgb="FFFFF3CD"/>
        </patternFill>
      </fill>
    </dxf>
    <dxf>
      <font>
        <b/>
        <sz val="10"/>
        <color rgb="FFB78103"/>
        <name val="Calibri"/>
      </font>
      <fill>
        <patternFill patternType="solid">
          <fgColor rgb="FFFFF3CD"/>
        </patternFill>
      </fill>
    </dxf>
    <dxf>
      <font>
        <b/>
        <sz val="8"/>
        <color rgb="FF2E7D32"/>
        <name val="Calibri"/>
      </font>
      <fill>
        <patternFill patternType="solid">
          <fgColor rgb="FFE8F5E9"/>
        </patternFill>
      </fill>
    </dxf>
    <dxf>
      <font>
        <b/>
        <sz val="8"/>
        <color rgb="FF607D8B"/>
        <name val="Calibri"/>
      </font>
      <fill>
        <patternFill patternType="solid">
          <fgColor rgb="FFECEFF1"/>
        </patternFill>
      </fill>
    </dxf>
    <dxf>
      <font>
        <b/>
        <sz val="8"/>
        <color rgb="FF607D8B"/>
        <name val="Calibri"/>
      </font>
      <fill>
        <patternFill patternType="solid">
          <fgColor rgb="FFECEFF1"/>
        </patternFill>
      </fill>
    </dxf>
    <dxf>
      <font>
        <b/>
        <sz val="8"/>
        <color rgb="FFC62828"/>
        <name val="Calibri"/>
      </font>
      <fill>
        <patternFill patternType="solid">
          <fgColor rgb="FFFFEBEE"/>
        </patternFill>
      </fill>
    </dxf>
    <dxf>
      <font>
        <b/>
        <sz val="8"/>
        <color rgb="FF00838F"/>
        <name val="Calibri"/>
      </font>
      <fill>
        <patternFill patternType="solid">
          <fgColor rgb="FFE0F7FA"/>
        </patternFill>
      </fill>
    </dxf>
    <dxf>
      <font>
        <b/>
        <sz val="8"/>
        <color rgb="FFAD1457"/>
        <name val="Calibri"/>
      </font>
      <fill>
        <patternFill patternType="solid">
          <fgColor rgb="FFFCE4EC"/>
        </patternFill>
      </fill>
    </dxf>
    <dxf>
      <font>
        <b/>
        <sz val="8"/>
        <color rgb="FF5E35B1"/>
        <name val="Calibri"/>
      </font>
      <fill>
        <patternFill patternType="solid">
          <fgColor rgb="FFEDE7F6"/>
        </patternFill>
      </fill>
    </dxf>
    <dxf>
      <font>
        <b/>
        <sz val="8"/>
        <color rgb="FF0D47A1"/>
        <name val="Calibri"/>
      </font>
      <fill>
        <patternFill patternType="solid">
          <fgColor rgb="FFD6E4F0"/>
        </patternFill>
      </fill>
    </dxf>
    <dxf>
      <font>
        <b/>
        <sz val="8"/>
        <color rgb="FFE65100"/>
        <name val="Calibri"/>
      </font>
      <fill>
        <patternFill patternType="solid">
          <fgColor rgb="FFFFE0B2"/>
        </patternFill>
      </fill>
    </dxf>
    <dxf>
      <font>
        <b/>
        <sz val="8"/>
        <color rgb="FFB78103"/>
        <name val="Calibri"/>
      </font>
      <fill>
        <patternFill patternType="solid">
          <fgColor rgb="FFFFF3CD"/>
        </patternFill>
      </fill>
    </dxf>
    <dxf>
      <font>
        <b/>
        <sz val="8"/>
        <color rgb="FFB71C1C"/>
        <name val="Calibri"/>
      </font>
      <fill>
        <patternFill patternType="solid">
          <fgColor rgb="FFF8D7DA"/>
        </patternFill>
      </fill>
    </dxf>
    <dxf>
      <font>
        <b/>
        <sz val="8"/>
        <color rgb="FF1B7A4E"/>
        <name val="Calibri"/>
      </font>
      <fill>
        <patternFill patternType="solid">
          <fgColor rgb="FFD4EDDA"/>
        </patternFill>
      </fill>
    </dxf>
    <dxf>
      <font>
        <b/>
        <sz val="9"/>
        <color rgb="FF00695C"/>
        <name val="Calibri"/>
      </font>
      <fill>
        <patternFill patternType="solid">
          <fgColor rgb="FFE0F2F1"/>
        </patternFill>
      </fill>
    </dxf>
    <dxf>
      <font>
        <b/>
        <sz val="9"/>
        <color rgb="FF7B1FA2"/>
        <name val="Calibri"/>
      </font>
      <fill>
        <patternFill patternType="solid">
          <fgColor rgb="FFF3E5F5"/>
        </patternFill>
      </fill>
    </dxf>
    <dxf>
      <font>
        <b/>
        <sz val="9"/>
        <color rgb="FFFF6F00"/>
        <name val="Calibri"/>
      </font>
      <fill>
        <patternFill patternType="solid">
          <fgColor rgb="FFFFECB3"/>
        </patternFill>
      </fill>
    </dxf>
    <dxf>
      <font>
        <b/>
        <sz val="9"/>
        <color rgb="FF607D8B"/>
        <name val="Calibri"/>
      </font>
      <fill>
        <patternFill patternType="solid">
          <fgColor rgb="FFECEFF1"/>
        </patternFill>
      </fill>
    </dxf>
    <dxf>
      <font>
        <b/>
        <sz val="9"/>
        <color rgb="FF5E35B1"/>
        <name val="Calibri"/>
      </font>
      <fill>
        <patternFill patternType="solid">
          <fgColor rgb="FFEDE7F6"/>
        </patternFill>
      </fill>
    </dxf>
    <dxf>
      <font>
        <b/>
        <sz val="9"/>
        <color rgb="FFF9A825"/>
        <name val="Calibri"/>
      </font>
      <fill>
        <patternFill patternType="solid">
          <fgColor rgb="FFFFF8E1"/>
        </patternFill>
      </fill>
    </dxf>
    <dxf>
      <font>
        <b/>
        <sz val="9"/>
        <color rgb="FF1565C0"/>
        <name val="Calibri"/>
      </font>
      <fill>
        <patternFill patternType="solid">
          <fgColor rgb="FFE3F2FD"/>
        </patternFill>
      </fill>
    </dxf>
    <dxf>
      <font>
        <i/>
        <sz val="10"/>
        <color rgb="FF607D8B"/>
        <name val="Calibri"/>
      </font>
      <fill>
        <patternFill patternType="solid">
          <fgColor rgb="FFECEFF1"/>
        </patternFill>
      </fill>
    </dxf>
    <dxf>
      <font>
        <b/>
        <sz val="10"/>
        <color rgb="FF1B7A4E"/>
        <name val="Calibri"/>
      </font>
      <fill>
        <patternFill patternType="solid">
          <f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Daily Present Headcount</a:t>
            </a:r>
          </a:p>
        </c:rich>
      </c:tx>
      <c:overlay val="1"/>
    </c:title>
    <c:autoTitleDeleted val="0"/>
    <c:plotArea>
      <c:layout/>
      <c:lineChart>
        <c:grouping val="standard"/>
        <c:varyColors val="1"/>
        <c:ser>
          <c:idx val="0"/>
          <c:order val="0"/>
          <c:tx>
            <c:strRef>
              <c:f>'06_Dashboard'!$C$25</c:f>
              <c:strCache>
                <c:ptCount val="1"/>
                <c:pt idx="0">
                  <c:v>Present</c:v>
                </c:pt>
              </c:strCache>
            </c:strRef>
          </c:tx>
          <c:spPr>
            <a:ln>
              <a:prstDash val="solid"/>
            </a:ln>
          </c:spPr>
          <c:marker>
            <c:symbol val="none"/>
          </c:marker>
          <c:cat>
            <c:numRef>
              <c:f>'06_Dashboard'!$B$26:$B$55</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'06_Dashboard'!$C$26:$C$55</c:f>
              <c:numCache>
                <c:formatCode>General</c:formatCode>
                <c:ptCount val="30"/>
                <c:pt idx="0">
                  <c:v>16</c:v>
                </c:pt>
                <c:pt idx="1">
                  <c:v>16</c:v>
                </c:pt>
                <c:pt idx="2">
                  <c:v>17</c:v>
                </c:pt>
                <c:pt idx="3">
                  <c:v>15</c:v>
                </c:pt>
                <c:pt idx="4">
                  <c:v>17</c:v>
                </c:pt>
                <c:pt idx="5">
                  <c:v>15</c:v>
                </c:pt>
                <c:pt idx="6">
                  <c:v>15</c:v>
                </c:pt>
                <c:pt idx="7">
                  <c:v>16</c:v>
                </c:pt>
                <c:pt idx="8">
                  <c:v>15</c:v>
                </c:pt>
                <c:pt idx="9">
                  <c:v>17</c:v>
                </c:pt>
                <c:pt idx="10">
                  <c:v>16</c:v>
                </c:pt>
                <c:pt idx="11">
                  <c:v>17</c:v>
                </c:pt>
                <c:pt idx="12">
                  <c:v>16</c:v>
                </c:pt>
                <c:pt idx="13">
                  <c:v>16</c:v>
                </c:pt>
                <c:pt idx="14">
                  <c:v>16</c:v>
                </c:pt>
                <c:pt idx="15">
                  <c:v>16</c:v>
                </c:pt>
                <c:pt idx="16">
                  <c:v>17</c:v>
                </c:pt>
                <c:pt idx="17">
                  <c:v>16</c:v>
                </c:pt>
                <c:pt idx="18">
                  <c:v>17</c:v>
                </c:pt>
                <c:pt idx="19">
                  <c:v>15</c:v>
                </c:pt>
                <c:pt idx="20">
                  <c:v>16</c:v>
                </c:pt>
                <c:pt idx="21">
                  <c:v>16</c:v>
                </c:pt>
                <c:pt idx="22">
                  <c:v>16</c:v>
                </c:pt>
                <c:pt idx="23">
                  <c:v>17</c:v>
                </c:pt>
                <c:pt idx="24">
                  <c:v>16</c:v>
                </c:pt>
                <c:pt idx="25">
                  <c:v>17</c:v>
                </c:pt>
                <c:pt idx="26">
                  <c:v>16</c:v>
                </c:pt>
                <c:pt idx="27">
                  <c:v>15</c:v>
                </c:pt>
                <c:pt idx="28">
                  <c:v>15</c:v>
                </c:pt>
                <c:pt idx="29">
                  <c:v>16</c:v>
                </c:pt>
              </c:numCache>
            </c:numRef>
          </c:val>
          <c:smooth val="1"/>
          <c:extLst>
            <c:ext xmlns:c16="http://schemas.microsoft.com/office/drawing/2014/chart" uri="{C3380CC4-5D6E-409C-BE32-E72D297353CC}">
              <c16:uniqueId val="{00000000-BC28-4B29-A574-29FB6934C380}"/>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Day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Employees</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Active Staff by Department</a:t>
            </a:r>
          </a:p>
        </c:rich>
      </c:tx>
      <c:layout>
        <c:manualLayout>
          <c:xMode val="edge"/>
          <c:yMode val="edge"/>
          <c:x val="0.36928842592592592"/>
          <c:y val="1.3229166666666667E-2"/>
        </c:manualLayout>
      </c:layout>
      <c:overlay val="1"/>
    </c:title>
    <c:autoTitleDeleted val="0"/>
    <c:plotArea>
      <c:layout>
        <c:manualLayout>
          <c:layoutTarget val="inner"/>
          <c:xMode val="edge"/>
          <c:yMode val="edge"/>
          <c:x val="6.4675925925925928E-2"/>
          <c:y val="9.7013888888888886E-2"/>
          <c:w val="0.93532407407407403"/>
          <c:h val="0.90298611111111116"/>
        </c:manualLayout>
      </c:layout>
      <c:barChart>
        <c:barDir val="col"/>
        <c:grouping val="clustered"/>
        <c:varyColors val="1"/>
        <c:ser>
          <c:idx val="0"/>
          <c:order val="0"/>
          <c:tx>
            <c:strRef>
              <c:f>'06_Dashboard'!$I$14</c:f>
              <c:strCache>
                <c:ptCount val="1"/>
                <c:pt idx="0">
                  <c:v>Active</c:v>
                </c:pt>
              </c:strCache>
            </c:strRef>
          </c:tx>
          <c:spPr>
            <a:ln>
              <a:prstDash val="solid"/>
            </a:ln>
          </c:spPr>
          <c:invertIfNegative val="1"/>
          <c:cat>
            <c:strRef>
              <c:f>'06_Dashboard'!$H$15:$H$22</c:f>
              <c:strCache>
                <c:ptCount val="8"/>
                <c:pt idx="0">
                  <c:v>Hematology</c:v>
                </c:pt>
                <c:pt idx="1">
                  <c:v>Biochemistry</c:v>
                </c:pt>
                <c:pt idx="2">
                  <c:v>Microbiology</c:v>
                </c:pt>
                <c:pt idx="3">
                  <c:v>Histopathology</c:v>
                </c:pt>
                <c:pt idx="4">
                  <c:v>Phlebotomy</c:v>
                </c:pt>
                <c:pt idx="5">
                  <c:v>Sample Receiving</c:v>
                </c:pt>
                <c:pt idx="6">
                  <c:v>Quality Assurance</c:v>
                </c:pt>
                <c:pt idx="7">
                  <c:v>Administration</c:v>
                </c:pt>
              </c:strCache>
            </c:strRef>
          </c:cat>
          <c:val>
            <c:numRef>
              <c:f>'06_Dashboard'!$I$15:$I$22</c:f>
              <c:numCache>
                <c:formatCode>General</c:formatCode>
                <c:ptCount val="8"/>
                <c:pt idx="0">
                  <c:v>3</c:v>
                </c:pt>
                <c:pt idx="1">
                  <c:v>3</c:v>
                </c:pt>
                <c:pt idx="2">
                  <c:v>3</c:v>
                </c:pt>
                <c:pt idx="3">
                  <c:v>3</c:v>
                </c:pt>
                <c:pt idx="4">
                  <c:v>3</c:v>
                </c:pt>
                <c:pt idx="5">
                  <c:v>1</c:v>
                </c:pt>
                <c:pt idx="6">
                  <c:v>1</c:v>
                </c:pt>
                <c:pt idx="7">
                  <c:v>2</c:v>
                </c:pt>
              </c:numCache>
            </c:numRef>
          </c:val>
          <c:extLst>
            <c:ext xmlns:c16="http://schemas.microsoft.com/office/drawing/2014/chart" uri="{C3380CC4-5D6E-409C-BE32-E72D297353CC}">
              <c16:uniqueId val="{00000000-90C3-4C2B-8040-068A84F1E0D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23</xdr:row>
      <xdr:rowOff>0</xdr:rowOff>
    </xdr:from>
    <xdr:ext cx="5400000" cy="28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84668</xdr:colOff>
      <xdr:row>22</xdr:row>
      <xdr:rowOff>33866</xdr:rowOff>
    </xdr:from>
    <xdr:ext cx="4320000" cy="288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2137"/>
    <pageSetUpPr fitToPage="1"/>
  </sheetPr>
  <dimension ref="A1:F21"/>
  <sheetViews>
    <sheetView showGridLines="0" zoomScale="90" workbookViewId="0">
      <selection sqref="A1:F1"/>
    </sheetView>
  </sheetViews>
  <sheetFormatPr defaultRowHeight="14.4" x14ac:dyDescent="0.3"/>
  <cols>
    <col min="1" max="1" width="4" customWidth="1"/>
    <col min="2" max="2" width="28" customWidth="1"/>
    <col min="3" max="3" width="55" customWidth="1"/>
    <col min="4" max="4" width="22" customWidth="1"/>
    <col min="5" max="6" width="18" customWidth="1"/>
  </cols>
  <sheetData>
    <row r="1" spans="1:6" ht="16.05" customHeight="1" x14ac:dyDescent="0.3">
      <c r="A1" s="19" t="s">
        <v>0</v>
      </c>
      <c r="B1" s="17"/>
      <c r="C1" s="17"/>
      <c r="D1" s="17"/>
      <c r="E1" s="17"/>
      <c r="F1" s="17"/>
    </row>
    <row r="2" spans="1:6" ht="25.95" customHeight="1" x14ac:dyDescent="0.3">
      <c r="A2" s="16" t="s">
        <v>1</v>
      </c>
      <c r="B2" s="17"/>
      <c r="C2" s="17"/>
      <c r="D2" s="17"/>
      <c r="E2" s="17"/>
      <c r="F2" s="17"/>
    </row>
    <row r="3" spans="1:6" ht="18" customHeight="1" x14ac:dyDescent="0.3">
      <c r="A3" s="21" t="s">
        <v>2</v>
      </c>
      <c r="B3" s="17"/>
      <c r="C3" s="17"/>
      <c r="D3" s="17"/>
      <c r="E3" s="17"/>
      <c r="F3" s="17"/>
    </row>
    <row r="5" spans="1:6" x14ac:dyDescent="0.3">
      <c r="B5" s="18" t="s">
        <v>3</v>
      </c>
      <c r="C5" s="17"/>
      <c r="D5" s="17"/>
    </row>
    <row r="6" spans="1:6" x14ac:dyDescent="0.3">
      <c r="B6" s="2" t="s">
        <v>4</v>
      </c>
      <c r="C6" s="2" t="s">
        <v>5</v>
      </c>
      <c r="D6" s="2" t="s">
        <v>6</v>
      </c>
    </row>
    <row r="7" spans="1:6" ht="28.05" customHeight="1" x14ac:dyDescent="0.3">
      <c r="B7" s="3" t="s">
        <v>7</v>
      </c>
      <c r="C7" s="4" t="s">
        <v>8</v>
      </c>
      <c r="D7" s="4" t="s">
        <v>9</v>
      </c>
    </row>
    <row r="8" spans="1:6" ht="28.05" customHeight="1" x14ac:dyDescent="0.3">
      <c r="B8" s="3" t="s">
        <v>10</v>
      </c>
      <c r="C8" s="4" t="s">
        <v>11</v>
      </c>
      <c r="D8" s="4" t="s">
        <v>12</v>
      </c>
    </row>
    <row r="9" spans="1:6" ht="28.05" customHeight="1" x14ac:dyDescent="0.3">
      <c r="B9" s="3" t="s">
        <v>13</v>
      </c>
      <c r="C9" s="4" t="s">
        <v>14</v>
      </c>
      <c r="D9" s="4" t="s">
        <v>15</v>
      </c>
    </row>
    <row r="10" spans="1:6" ht="28.05" customHeight="1" x14ac:dyDescent="0.3">
      <c r="B10" s="3" t="s">
        <v>16</v>
      </c>
      <c r="C10" s="4" t="s">
        <v>17</v>
      </c>
      <c r="D10" s="4" t="s">
        <v>18</v>
      </c>
    </row>
    <row r="11" spans="1:6" ht="28.05" customHeight="1" x14ac:dyDescent="0.3">
      <c r="B11" s="3" t="s">
        <v>19</v>
      </c>
      <c r="C11" s="4" t="s">
        <v>20</v>
      </c>
      <c r="D11" s="4" t="s">
        <v>21</v>
      </c>
    </row>
    <row r="12" spans="1:6" ht="28.05" customHeight="1" x14ac:dyDescent="0.3">
      <c r="B12" s="3" t="s">
        <v>22</v>
      </c>
      <c r="C12" s="4" t="s">
        <v>23</v>
      </c>
      <c r="D12" s="4" t="s">
        <v>24</v>
      </c>
    </row>
    <row r="14" spans="1:6" x14ac:dyDescent="0.3">
      <c r="B14" s="20" t="s">
        <v>25</v>
      </c>
      <c r="C14" s="17"/>
      <c r="D14" s="17"/>
    </row>
    <row r="15" spans="1:6" x14ac:dyDescent="0.3">
      <c r="B15" s="17"/>
      <c r="C15" s="17"/>
      <c r="D15" s="17"/>
    </row>
    <row r="16" spans="1:6" x14ac:dyDescent="0.3">
      <c r="B16" s="17"/>
      <c r="C16" s="17"/>
      <c r="D16" s="17"/>
    </row>
    <row r="17" spans="2:4" x14ac:dyDescent="0.3">
      <c r="B17" s="17"/>
      <c r="C17" s="17"/>
      <c r="D17" s="17"/>
    </row>
    <row r="18" spans="2:4" x14ac:dyDescent="0.3">
      <c r="B18" s="17"/>
      <c r="C18" s="17"/>
      <c r="D18" s="17"/>
    </row>
    <row r="20" spans="2:4" ht="15.6" x14ac:dyDescent="0.3">
      <c r="B20" s="1" t="s">
        <v>26</v>
      </c>
      <c r="C20" s="5" t="s">
        <v>27</v>
      </c>
    </row>
    <row r="21" spans="2:4" x14ac:dyDescent="0.3">
      <c r="B21" t="s">
        <v>28</v>
      </c>
      <c r="C21" s="6">
        <v>19</v>
      </c>
    </row>
  </sheetData>
  <mergeCells count="5">
    <mergeCell ref="A2:F2"/>
    <mergeCell ref="B5:D5"/>
    <mergeCell ref="A1:F1"/>
    <mergeCell ref="B14:D18"/>
    <mergeCell ref="A3:F3"/>
  </mergeCells>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7C7B"/>
    <pageSetUpPr fitToPage="1"/>
  </sheetPr>
  <dimension ref="A1:L45"/>
  <sheetViews>
    <sheetView showGridLines="0" zoomScale="90" workbookViewId="0">
      <selection activeCell="F6" sqref="F6:I6"/>
    </sheetView>
  </sheetViews>
  <sheetFormatPr defaultRowHeight="14.4" x14ac:dyDescent="0.3"/>
  <cols>
    <col min="1" max="1" width="4" customWidth="1"/>
    <col min="2" max="2" width="14" customWidth="1"/>
    <col min="3" max="3" width="22" customWidth="1"/>
    <col min="4" max="4" width="16" customWidth="1"/>
    <col min="5" max="5" width="4" customWidth="1"/>
    <col min="6" max="6" width="18" customWidth="1"/>
    <col min="7" max="7" width="28" customWidth="1"/>
    <col min="8" max="9" width="12" customWidth="1"/>
    <col min="10" max="10" width="28" customWidth="1"/>
  </cols>
  <sheetData>
    <row r="1" spans="1:12" ht="16.05" customHeight="1" x14ac:dyDescent="0.3">
      <c r="A1" s="36" t="s">
        <v>0</v>
      </c>
      <c r="B1" s="31"/>
      <c r="C1" s="31"/>
      <c r="D1" s="31"/>
      <c r="E1" s="31"/>
      <c r="F1" s="31"/>
      <c r="G1" s="31"/>
      <c r="H1" s="31"/>
      <c r="I1" s="31"/>
      <c r="J1" s="31"/>
      <c r="K1" s="24"/>
      <c r="L1" s="24"/>
    </row>
    <row r="2" spans="1:12" ht="25.95" customHeight="1" x14ac:dyDescent="0.3">
      <c r="A2" s="37" t="s">
        <v>29</v>
      </c>
      <c r="B2" s="31"/>
      <c r="C2" s="31"/>
      <c r="D2" s="31"/>
      <c r="E2" s="31"/>
      <c r="F2" s="31"/>
      <c r="G2" s="31"/>
      <c r="H2" s="31"/>
      <c r="I2" s="31"/>
      <c r="J2" s="31"/>
      <c r="K2" s="24"/>
      <c r="L2" s="24"/>
    </row>
    <row r="3" spans="1:12" ht="18" customHeight="1" x14ac:dyDescent="0.3">
      <c r="A3" s="38" t="s">
        <v>30</v>
      </c>
      <c r="B3" s="31"/>
      <c r="C3" s="31"/>
      <c r="D3" s="31"/>
      <c r="E3" s="31"/>
      <c r="F3" s="31"/>
      <c r="G3" s="31"/>
      <c r="H3" s="31"/>
      <c r="I3" s="31"/>
      <c r="J3" s="31"/>
      <c r="K3" s="24"/>
      <c r="L3" s="24"/>
    </row>
    <row r="4" spans="1:12" x14ac:dyDescent="0.3">
      <c r="A4" s="24"/>
      <c r="B4" s="24"/>
      <c r="C4" s="24"/>
      <c r="D4" s="24"/>
      <c r="E4" s="24"/>
      <c r="F4" s="24"/>
      <c r="G4" s="24"/>
      <c r="H4" s="24"/>
      <c r="I4" s="24"/>
      <c r="J4" s="24"/>
      <c r="K4" s="24"/>
      <c r="L4" s="24"/>
    </row>
    <row r="5" spans="1:12" x14ac:dyDescent="0.3">
      <c r="A5" s="24"/>
      <c r="B5" s="43" t="s">
        <v>31</v>
      </c>
      <c r="C5" s="43"/>
      <c r="D5" s="43"/>
      <c r="E5" s="24"/>
      <c r="F5" s="43" t="s">
        <v>32</v>
      </c>
      <c r="G5" s="43"/>
      <c r="H5" s="43"/>
      <c r="I5" s="43"/>
      <c r="J5" s="24"/>
      <c r="K5" s="24"/>
      <c r="L5" s="24"/>
    </row>
    <row r="6" spans="1:12" x14ac:dyDescent="0.3">
      <c r="A6" s="24"/>
      <c r="B6" s="40" t="s">
        <v>33</v>
      </c>
      <c r="C6" s="40" t="s">
        <v>34</v>
      </c>
      <c r="D6" s="40" t="s">
        <v>35</v>
      </c>
      <c r="E6" s="24"/>
      <c r="F6" s="46" t="s">
        <v>33</v>
      </c>
      <c r="G6" s="46" t="s">
        <v>36</v>
      </c>
      <c r="H6" s="46" t="s">
        <v>37</v>
      </c>
      <c r="I6" s="46" t="s">
        <v>38</v>
      </c>
      <c r="J6" s="24"/>
      <c r="K6" s="24"/>
      <c r="L6" s="24"/>
    </row>
    <row r="7" spans="1:12" x14ac:dyDescent="0.3">
      <c r="A7" s="24"/>
      <c r="B7" s="44" t="s">
        <v>39</v>
      </c>
      <c r="C7" s="42" t="s">
        <v>40</v>
      </c>
      <c r="D7" s="42" t="s">
        <v>41</v>
      </c>
      <c r="E7" s="24"/>
      <c r="F7" s="40" t="s">
        <v>42</v>
      </c>
      <c r="G7" s="42" t="s">
        <v>43</v>
      </c>
      <c r="H7" s="45" t="s">
        <v>44</v>
      </c>
      <c r="I7" s="45" t="s">
        <v>45</v>
      </c>
      <c r="J7" s="24"/>
      <c r="K7" s="24"/>
      <c r="L7" s="24"/>
    </row>
    <row r="8" spans="1:12" x14ac:dyDescent="0.3">
      <c r="A8" s="24"/>
      <c r="B8" s="44" t="s">
        <v>46</v>
      </c>
      <c r="C8" s="42" t="s">
        <v>47</v>
      </c>
      <c r="D8" s="42" t="s">
        <v>48</v>
      </c>
      <c r="E8" s="24"/>
      <c r="F8" s="40" t="s">
        <v>49</v>
      </c>
      <c r="G8" s="42" t="s">
        <v>50</v>
      </c>
      <c r="H8" s="45" t="s">
        <v>51</v>
      </c>
      <c r="I8" s="45" t="s">
        <v>52</v>
      </c>
      <c r="J8" s="24"/>
      <c r="K8" s="24"/>
      <c r="L8" s="24"/>
    </row>
    <row r="9" spans="1:12" x14ac:dyDescent="0.3">
      <c r="A9" s="24"/>
      <c r="B9" s="44" t="s">
        <v>53</v>
      </c>
      <c r="C9" s="42" t="s">
        <v>54</v>
      </c>
      <c r="D9" s="42" t="s">
        <v>55</v>
      </c>
      <c r="E9" s="24"/>
      <c r="F9" s="40" t="s">
        <v>56</v>
      </c>
      <c r="G9" s="42" t="s">
        <v>57</v>
      </c>
      <c r="H9" s="45" t="s">
        <v>58</v>
      </c>
      <c r="I9" s="45" t="s">
        <v>59</v>
      </c>
      <c r="J9" s="24"/>
      <c r="K9" s="24"/>
      <c r="L9" s="24"/>
    </row>
    <row r="10" spans="1:12" x14ac:dyDescent="0.3">
      <c r="A10" s="24"/>
      <c r="B10" s="44" t="s">
        <v>60</v>
      </c>
      <c r="C10" s="42" t="s">
        <v>61</v>
      </c>
      <c r="D10" s="42" t="s">
        <v>62</v>
      </c>
      <c r="E10" s="24"/>
      <c r="F10" s="40" t="s">
        <v>63</v>
      </c>
      <c r="G10" s="42" t="s">
        <v>64</v>
      </c>
      <c r="H10" s="45" t="s">
        <v>65</v>
      </c>
      <c r="I10" s="45" t="s">
        <v>66</v>
      </c>
      <c r="J10" s="24"/>
      <c r="K10" s="24"/>
      <c r="L10" s="24"/>
    </row>
    <row r="11" spans="1:12" x14ac:dyDescent="0.3">
      <c r="A11" s="24"/>
      <c r="B11" s="44" t="s">
        <v>67</v>
      </c>
      <c r="C11" s="42" t="s">
        <v>68</v>
      </c>
      <c r="D11" s="42" t="s">
        <v>62</v>
      </c>
      <c r="E11" s="24"/>
      <c r="F11" s="40" t="s">
        <v>69</v>
      </c>
      <c r="G11" s="42" t="s">
        <v>70</v>
      </c>
      <c r="H11" s="45" t="s">
        <v>71</v>
      </c>
      <c r="I11" s="45" t="s">
        <v>72</v>
      </c>
      <c r="J11" s="24"/>
      <c r="K11" s="24"/>
      <c r="L11" s="24"/>
    </row>
    <row r="12" spans="1:12" x14ac:dyDescent="0.3">
      <c r="A12" s="24"/>
      <c r="B12" s="44" t="s">
        <v>73</v>
      </c>
      <c r="C12" s="42" t="s">
        <v>74</v>
      </c>
      <c r="D12" s="42" t="s">
        <v>62</v>
      </c>
      <c r="E12" s="24"/>
      <c r="F12" s="40" t="s">
        <v>75</v>
      </c>
      <c r="G12" s="42" t="s">
        <v>76</v>
      </c>
      <c r="H12" s="45" t="s">
        <v>77</v>
      </c>
      <c r="I12" s="45" t="s">
        <v>78</v>
      </c>
      <c r="J12" s="24"/>
      <c r="K12" s="24"/>
      <c r="L12" s="24"/>
    </row>
    <row r="13" spans="1:12" x14ac:dyDescent="0.3">
      <c r="A13" s="24"/>
      <c r="B13" s="44" t="s">
        <v>79</v>
      </c>
      <c r="C13" s="42" t="s">
        <v>80</v>
      </c>
      <c r="D13" s="42" t="s">
        <v>62</v>
      </c>
      <c r="E13" s="24"/>
      <c r="F13" s="40" t="s">
        <v>81</v>
      </c>
      <c r="G13" s="42" t="s">
        <v>82</v>
      </c>
      <c r="H13" s="45" t="s">
        <v>83</v>
      </c>
      <c r="I13" s="45" t="s">
        <v>84</v>
      </c>
      <c r="J13" s="24"/>
      <c r="K13" s="24"/>
      <c r="L13" s="24"/>
    </row>
    <row r="14" spans="1:12" x14ac:dyDescent="0.3">
      <c r="A14" s="24"/>
      <c r="B14" s="24"/>
      <c r="C14" s="24"/>
      <c r="D14" s="24"/>
      <c r="E14" s="24"/>
      <c r="F14" s="40" t="s">
        <v>85</v>
      </c>
      <c r="G14" s="42" t="s">
        <v>86</v>
      </c>
      <c r="H14" s="45" t="s">
        <v>87</v>
      </c>
      <c r="I14" s="45" t="s">
        <v>88</v>
      </c>
      <c r="J14" s="24"/>
      <c r="K14" s="24"/>
      <c r="L14" s="24"/>
    </row>
    <row r="15" spans="1:12" x14ac:dyDescent="0.3">
      <c r="A15" s="24"/>
      <c r="B15" s="24"/>
      <c r="C15" s="24"/>
      <c r="D15" s="24"/>
      <c r="E15" s="24"/>
      <c r="F15" s="40" t="s">
        <v>89</v>
      </c>
      <c r="G15" s="42" t="s">
        <v>90</v>
      </c>
      <c r="H15" s="45" t="s">
        <v>91</v>
      </c>
      <c r="I15" s="45" t="s">
        <v>92</v>
      </c>
      <c r="J15" s="24"/>
      <c r="K15" s="24"/>
      <c r="L15" s="24"/>
    </row>
    <row r="16" spans="1:12" ht="27.6" x14ac:dyDescent="0.3">
      <c r="A16" s="24"/>
      <c r="B16" s="46" t="s">
        <v>93</v>
      </c>
      <c r="C16" s="46" t="s">
        <v>94</v>
      </c>
      <c r="D16" s="46" t="s">
        <v>95</v>
      </c>
      <c r="E16" s="47"/>
      <c r="F16" s="46" t="s">
        <v>96</v>
      </c>
      <c r="G16" s="46" t="s">
        <v>97</v>
      </c>
      <c r="H16" s="46" t="s">
        <v>98</v>
      </c>
      <c r="I16" s="46" t="s">
        <v>99</v>
      </c>
      <c r="J16" s="24"/>
      <c r="K16" s="24"/>
      <c r="L16" s="24"/>
    </row>
    <row r="17" spans="1:12" x14ac:dyDescent="0.3">
      <c r="A17" s="24"/>
      <c r="B17" s="42" t="s">
        <v>100</v>
      </c>
      <c r="C17" s="42" t="s">
        <v>101</v>
      </c>
      <c r="D17" s="42" t="s">
        <v>102</v>
      </c>
      <c r="E17" s="41"/>
      <c r="F17" s="42" t="s">
        <v>103</v>
      </c>
      <c r="G17" s="42" t="s">
        <v>76</v>
      </c>
      <c r="H17" s="42" t="s">
        <v>104</v>
      </c>
      <c r="I17" s="42" t="s">
        <v>105</v>
      </c>
      <c r="J17" s="24"/>
      <c r="K17" s="24"/>
      <c r="L17" s="24"/>
    </row>
    <row r="18" spans="1:12" x14ac:dyDescent="0.3">
      <c r="A18" s="24"/>
      <c r="B18" s="42" t="s">
        <v>106</v>
      </c>
      <c r="C18" s="42" t="s">
        <v>107</v>
      </c>
      <c r="D18" s="42" t="s">
        <v>108</v>
      </c>
      <c r="E18" s="41"/>
      <c r="F18" s="42" t="s">
        <v>109</v>
      </c>
      <c r="G18" s="42" t="s">
        <v>110</v>
      </c>
      <c r="H18" s="42" t="s">
        <v>111</v>
      </c>
      <c r="I18" s="42" t="s">
        <v>112</v>
      </c>
      <c r="J18" s="24"/>
      <c r="K18" s="24"/>
      <c r="L18" s="24"/>
    </row>
    <row r="19" spans="1:12" x14ac:dyDescent="0.3">
      <c r="A19" s="24"/>
      <c r="B19" s="42" t="s">
        <v>113</v>
      </c>
      <c r="C19" s="42" t="s">
        <v>114</v>
      </c>
      <c r="D19" s="42" t="s">
        <v>115</v>
      </c>
      <c r="E19" s="41"/>
      <c r="F19" s="42" t="s">
        <v>116</v>
      </c>
      <c r="G19" s="42" t="s">
        <v>90</v>
      </c>
      <c r="H19" s="42" t="s">
        <v>117</v>
      </c>
      <c r="I19" s="41"/>
      <c r="J19" s="24"/>
      <c r="K19" s="24"/>
      <c r="L19" s="24"/>
    </row>
    <row r="20" spans="1:12" x14ac:dyDescent="0.3">
      <c r="A20" s="24"/>
      <c r="B20" s="42" t="s">
        <v>118</v>
      </c>
      <c r="C20" s="42" t="s">
        <v>119</v>
      </c>
      <c r="D20" s="42" t="s">
        <v>120</v>
      </c>
      <c r="E20" s="41"/>
      <c r="F20" s="42" t="s">
        <v>121</v>
      </c>
      <c r="G20" s="42" t="s">
        <v>86</v>
      </c>
      <c r="H20" s="42" t="s">
        <v>122</v>
      </c>
      <c r="I20" s="41"/>
      <c r="J20" s="24"/>
      <c r="K20" s="24"/>
      <c r="L20" s="24"/>
    </row>
    <row r="21" spans="1:12" x14ac:dyDescent="0.3">
      <c r="A21" s="24"/>
      <c r="B21" s="42" t="s">
        <v>123</v>
      </c>
      <c r="C21" s="42" t="s">
        <v>124</v>
      </c>
      <c r="D21" s="41"/>
      <c r="E21" s="41"/>
      <c r="F21" s="41"/>
      <c r="G21" s="41"/>
      <c r="H21" s="41"/>
      <c r="I21" s="41"/>
      <c r="J21" s="24"/>
      <c r="K21" s="24"/>
      <c r="L21" s="24"/>
    </row>
    <row r="22" spans="1:12" ht="27.6" x14ac:dyDescent="0.3">
      <c r="A22" s="24"/>
      <c r="B22" s="42" t="s">
        <v>125</v>
      </c>
      <c r="C22" s="42" t="s">
        <v>126</v>
      </c>
      <c r="D22" s="41"/>
      <c r="E22" s="41"/>
      <c r="F22" s="41"/>
      <c r="G22" s="41"/>
      <c r="H22" s="41"/>
      <c r="I22" s="41"/>
      <c r="J22" s="24"/>
      <c r="K22" s="24"/>
      <c r="L22" s="24"/>
    </row>
    <row r="23" spans="1:12" ht="27.6" x14ac:dyDescent="0.3">
      <c r="A23" s="24"/>
      <c r="B23" s="42" t="s">
        <v>127</v>
      </c>
      <c r="C23" s="42" t="s">
        <v>128</v>
      </c>
      <c r="D23" s="41"/>
      <c r="E23" s="41"/>
      <c r="F23" s="41"/>
      <c r="G23" s="41"/>
      <c r="H23" s="41"/>
      <c r="I23" s="41"/>
      <c r="J23" s="24"/>
      <c r="K23" s="24"/>
      <c r="L23" s="24"/>
    </row>
    <row r="24" spans="1:12" x14ac:dyDescent="0.3">
      <c r="A24" s="24"/>
      <c r="B24" s="42" t="s">
        <v>129</v>
      </c>
      <c r="C24" s="42" t="s">
        <v>130</v>
      </c>
      <c r="D24" s="41"/>
      <c r="E24" s="41"/>
      <c r="F24" s="41"/>
      <c r="G24" s="41"/>
      <c r="H24" s="41"/>
      <c r="I24" s="41"/>
      <c r="J24" s="24"/>
      <c r="K24" s="24"/>
      <c r="L24" s="24"/>
    </row>
    <row r="25" spans="1:12" x14ac:dyDescent="0.3">
      <c r="A25" s="24"/>
      <c r="B25" s="24"/>
      <c r="C25" s="24"/>
      <c r="D25" s="24"/>
      <c r="E25" s="24"/>
      <c r="F25" s="24"/>
      <c r="G25" s="24"/>
      <c r="H25" s="24"/>
      <c r="I25" s="24"/>
      <c r="J25" s="24"/>
      <c r="K25" s="24"/>
      <c r="L25" s="24"/>
    </row>
    <row r="26" spans="1:12" x14ac:dyDescent="0.3">
      <c r="A26" s="24"/>
      <c r="B26" s="24"/>
      <c r="C26" s="24"/>
      <c r="D26" s="24"/>
      <c r="E26" s="24"/>
      <c r="F26" s="24"/>
      <c r="G26" s="24"/>
      <c r="H26" s="24"/>
      <c r="I26" s="24"/>
      <c r="J26" s="24"/>
      <c r="K26" s="24"/>
      <c r="L26" s="24"/>
    </row>
    <row r="27" spans="1:12" x14ac:dyDescent="0.3">
      <c r="A27" s="24"/>
      <c r="B27" s="25" t="s">
        <v>131</v>
      </c>
      <c r="C27" s="25"/>
      <c r="D27" s="25"/>
      <c r="E27" s="24"/>
      <c r="F27" s="25" t="s">
        <v>132</v>
      </c>
      <c r="G27" s="25"/>
      <c r="H27" s="25"/>
      <c r="I27" s="25"/>
      <c r="J27" s="24"/>
      <c r="K27" s="24"/>
      <c r="L27" s="24"/>
    </row>
    <row r="28" spans="1:12" ht="27.6" x14ac:dyDescent="0.3">
      <c r="A28" s="24"/>
      <c r="B28" s="26" t="s">
        <v>133</v>
      </c>
      <c r="C28" s="26" t="s">
        <v>134</v>
      </c>
      <c r="D28" s="26" t="s">
        <v>135</v>
      </c>
      <c r="E28" s="24"/>
      <c r="F28" s="26" t="s">
        <v>136</v>
      </c>
      <c r="G28" s="26" t="s">
        <v>137</v>
      </c>
      <c r="H28" s="26" t="s">
        <v>138</v>
      </c>
      <c r="I28" s="26" t="s">
        <v>139</v>
      </c>
      <c r="J28" s="24"/>
      <c r="K28" s="24"/>
      <c r="L28" s="24"/>
    </row>
    <row r="29" spans="1:12" ht="27.6" x14ac:dyDescent="0.3">
      <c r="A29" s="24"/>
      <c r="B29" s="34">
        <v>46048</v>
      </c>
      <c r="C29" s="28" t="s">
        <v>140</v>
      </c>
      <c r="D29" s="34" t="s">
        <v>141</v>
      </c>
      <c r="E29" s="24"/>
      <c r="F29" s="28" t="s">
        <v>76</v>
      </c>
      <c r="G29" s="34">
        <v>12</v>
      </c>
      <c r="H29" s="34" t="s">
        <v>142</v>
      </c>
      <c r="I29" s="28" t="s">
        <v>143</v>
      </c>
      <c r="J29" s="24"/>
      <c r="K29" s="24"/>
      <c r="L29" s="24"/>
    </row>
    <row r="30" spans="1:12" ht="27.6" x14ac:dyDescent="0.3">
      <c r="A30" s="24"/>
      <c r="B30" s="34">
        <v>46095</v>
      </c>
      <c r="C30" s="28" t="s">
        <v>144</v>
      </c>
      <c r="D30" s="34" t="s">
        <v>141</v>
      </c>
      <c r="E30" s="24"/>
      <c r="F30" s="28" t="s">
        <v>110</v>
      </c>
      <c r="G30" s="34">
        <v>6</v>
      </c>
      <c r="H30" s="34" t="s">
        <v>145</v>
      </c>
      <c r="I30" s="28" t="s">
        <v>146</v>
      </c>
      <c r="J30" s="24"/>
      <c r="K30" s="24"/>
      <c r="L30" s="24"/>
    </row>
    <row r="31" spans="1:12" ht="41.4" x14ac:dyDescent="0.3">
      <c r="A31" s="24"/>
      <c r="B31" s="34">
        <v>46249</v>
      </c>
      <c r="C31" s="28" t="s">
        <v>147</v>
      </c>
      <c r="D31" s="34" t="s">
        <v>141</v>
      </c>
      <c r="E31" s="24"/>
      <c r="F31" s="28" t="s">
        <v>90</v>
      </c>
      <c r="G31" s="34">
        <v>10</v>
      </c>
      <c r="H31" s="34" t="s">
        <v>145</v>
      </c>
      <c r="I31" s="28" t="s">
        <v>148</v>
      </c>
      <c r="J31" s="24"/>
      <c r="K31" s="24"/>
      <c r="L31" s="24"/>
    </row>
    <row r="32" spans="1:12" ht="27.6" x14ac:dyDescent="0.3">
      <c r="A32" s="24"/>
      <c r="B32" s="34">
        <v>46297</v>
      </c>
      <c r="C32" s="28" t="s">
        <v>149</v>
      </c>
      <c r="D32" s="34" t="s">
        <v>141</v>
      </c>
      <c r="E32" s="24"/>
      <c r="F32" s="28" t="s">
        <v>86</v>
      </c>
      <c r="G32" s="34">
        <v>15</v>
      </c>
      <c r="H32" s="34" t="s">
        <v>150</v>
      </c>
      <c r="I32" s="28" t="s">
        <v>151</v>
      </c>
      <c r="J32" s="24"/>
      <c r="K32" s="24"/>
      <c r="L32" s="24"/>
    </row>
    <row r="33" spans="1:12" x14ac:dyDescent="0.3">
      <c r="A33" s="24"/>
      <c r="B33" s="34">
        <v>46315</v>
      </c>
      <c r="C33" s="28" t="s">
        <v>152</v>
      </c>
      <c r="D33" s="34" t="s">
        <v>141</v>
      </c>
      <c r="E33" s="24"/>
      <c r="F33" s="24"/>
      <c r="G33" s="24"/>
      <c r="H33" s="24"/>
      <c r="I33" s="24"/>
      <c r="J33" s="24"/>
      <c r="K33" s="24"/>
      <c r="L33" s="24"/>
    </row>
    <row r="34" spans="1:12" x14ac:dyDescent="0.3">
      <c r="A34" s="24"/>
      <c r="B34" s="34">
        <v>46381</v>
      </c>
      <c r="C34" s="28" t="s">
        <v>153</v>
      </c>
      <c r="D34" s="34" t="s">
        <v>141</v>
      </c>
      <c r="E34" s="24"/>
      <c r="F34" s="24"/>
      <c r="G34" s="24"/>
      <c r="H34" s="24"/>
      <c r="I34" s="24"/>
      <c r="J34" s="24"/>
      <c r="K34" s="24"/>
      <c r="L34" s="24"/>
    </row>
    <row r="35" spans="1:12" x14ac:dyDescent="0.3">
      <c r="A35" s="24"/>
      <c r="B35" s="24"/>
      <c r="C35" s="24"/>
      <c r="D35" s="24"/>
      <c r="E35" s="24"/>
      <c r="F35" s="24"/>
      <c r="G35" s="24"/>
      <c r="H35" s="24"/>
      <c r="I35" s="24"/>
      <c r="J35" s="24"/>
      <c r="K35" s="24"/>
      <c r="L35" s="24"/>
    </row>
    <row r="36" spans="1:12" x14ac:dyDescent="0.3">
      <c r="A36" s="24"/>
      <c r="B36" s="24"/>
      <c r="C36" s="24"/>
      <c r="D36" s="24"/>
      <c r="E36" s="24"/>
      <c r="F36" s="24"/>
      <c r="G36" s="24"/>
      <c r="H36" s="24"/>
      <c r="I36" s="24"/>
      <c r="J36" s="24"/>
      <c r="K36" s="24"/>
      <c r="L36" s="24"/>
    </row>
    <row r="37" spans="1:12" x14ac:dyDescent="0.3">
      <c r="A37" s="24"/>
      <c r="B37" s="24"/>
      <c r="C37" s="24"/>
      <c r="D37" s="24"/>
      <c r="E37" s="24"/>
      <c r="F37" s="24"/>
      <c r="G37" s="24"/>
      <c r="H37" s="24"/>
      <c r="I37" s="24"/>
      <c r="J37" s="24"/>
      <c r="K37" s="24"/>
      <c r="L37" s="24"/>
    </row>
    <row r="38" spans="1:12" x14ac:dyDescent="0.3">
      <c r="A38" s="24"/>
      <c r="B38" s="24"/>
      <c r="C38" s="24"/>
      <c r="D38" s="24"/>
      <c r="E38" s="24"/>
      <c r="F38" s="24"/>
      <c r="G38" s="24"/>
      <c r="H38" s="24"/>
      <c r="I38" s="24"/>
      <c r="J38" s="24"/>
      <c r="K38" s="24"/>
      <c r="L38" s="24"/>
    </row>
    <row r="39" spans="1:12" x14ac:dyDescent="0.3">
      <c r="A39" s="24"/>
      <c r="B39" s="24"/>
      <c r="C39" s="24"/>
      <c r="D39" s="24"/>
      <c r="E39" s="24"/>
      <c r="F39" s="24"/>
      <c r="G39" s="24"/>
      <c r="H39" s="24"/>
      <c r="I39" s="24"/>
      <c r="J39" s="24"/>
      <c r="K39" s="24"/>
      <c r="L39" s="24"/>
    </row>
    <row r="40" spans="1:12" x14ac:dyDescent="0.3">
      <c r="A40" s="24"/>
      <c r="B40" s="24"/>
      <c r="C40" s="24"/>
      <c r="D40" s="24"/>
      <c r="E40" s="24"/>
      <c r="F40" s="24"/>
      <c r="G40" s="24"/>
      <c r="H40" s="24"/>
      <c r="I40" s="24"/>
      <c r="J40" s="24"/>
      <c r="K40" s="24"/>
      <c r="L40" s="24"/>
    </row>
    <row r="41" spans="1:12" x14ac:dyDescent="0.3">
      <c r="A41" s="24"/>
      <c r="B41" s="24"/>
      <c r="C41" s="24"/>
      <c r="D41" s="24"/>
      <c r="E41" s="24"/>
      <c r="F41" s="24"/>
      <c r="G41" s="24"/>
      <c r="H41" s="24"/>
      <c r="I41" s="24"/>
      <c r="J41" s="24"/>
      <c r="K41" s="24"/>
      <c r="L41" s="24"/>
    </row>
    <row r="42" spans="1:12" x14ac:dyDescent="0.3">
      <c r="A42" s="24"/>
      <c r="B42" s="24"/>
      <c r="C42" s="24"/>
      <c r="D42" s="24"/>
      <c r="E42" s="24"/>
      <c r="F42" s="24"/>
      <c r="G42" s="24"/>
      <c r="H42" s="24"/>
      <c r="I42" s="24"/>
      <c r="J42" s="24"/>
      <c r="K42" s="24"/>
      <c r="L42" s="24"/>
    </row>
    <row r="43" spans="1:12" x14ac:dyDescent="0.3">
      <c r="A43" s="24"/>
      <c r="B43" s="24"/>
      <c r="C43" s="24"/>
      <c r="D43" s="24"/>
      <c r="E43" s="24"/>
      <c r="F43" s="24"/>
      <c r="G43" s="24"/>
      <c r="H43" s="24"/>
      <c r="I43" s="24"/>
      <c r="J43" s="24"/>
      <c r="K43" s="24"/>
      <c r="L43" s="24"/>
    </row>
    <row r="44" spans="1:12" x14ac:dyDescent="0.3">
      <c r="A44" s="24"/>
      <c r="B44" s="24"/>
      <c r="C44" s="24"/>
      <c r="D44" s="24"/>
      <c r="E44" s="24"/>
      <c r="F44" s="24"/>
      <c r="G44" s="24"/>
      <c r="H44" s="24"/>
      <c r="I44" s="24"/>
      <c r="J44" s="24"/>
      <c r="K44" s="24"/>
      <c r="L44" s="24"/>
    </row>
    <row r="45" spans="1:12" x14ac:dyDescent="0.3">
      <c r="A45" s="24"/>
      <c r="B45" s="24"/>
      <c r="C45" s="24"/>
      <c r="D45" s="24"/>
      <c r="E45" s="24"/>
      <c r="F45" s="24"/>
      <c r="G45" s="24"/>
      <c r="H45" s="24"/>
      <c r="I45" s="24"/>
      <c r="J45" s="24"/>
      <c r="K45" s="24"/>
      <c r="L45" s="24"/>
    </row>
  </sheetData>
  <mergeCells count="7">
    <mergeCell ref="A1:J1"/>
    <mergeCell ref="B5:D5"/>
    <mergeCell ref="F27:I27"/>
    <mergeCell ref="A3:J3"/>
    <mergeCell ref="B27:D27"/>
    <mergeCell ref="A2:J2"/>
    <mergeCell ref="F5:I5"/>
  </mergeCells>
  <pageMargins left="0.4" right="0.4" top="0.5" bottom="0.5" header="0.2" footer="0.2"/>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7A4E"/>
    <pageSetUpPr fitToPage="1"/>
  </sheetPr>
  <dimension ref="A1:L47"/>
  <sheetViews>
    <sheetView showGridLines="0" zoomScale="90" workbookViewId="0">
      <pane xSplit="2" ySplit="5" topLeftCell="C6" activePane="bottomRight" state="frozen"/>
      <selection pane="topRight"/>
      <selection pane="bottomLeft"/>
      <selection pane="bottomRight" activeCell="A5" sqref="A5:L5"/>
    </sheetView>
  </sheetViews>
  <sheetFormatPr defaultRowHeight="14.4" x14ac:dyDescent="0.3"/>
  <cols>
    <col min="1" max="1" width="12" customWidth="1"/>
    <col min="2" max="2" width="22" customWidth="1"/>
    <col min="3" max="3" width="24" customWidth="1"/>
    <col min="4" max="4" width="18" customWidth="1"/>
    <col min="5" max="5" width="20" customWidth="1"/>
    <col min="6" max="7" width="14" customWidth="1"/>
    <col min="8" max="8" width="16" customWidth="1"/>
    <col min="9" max="9" width="14" customWidth="1"/>
    <col min="10" max="10" width="30" customWidth="1"/>
    <col min="11" max="11" width="32" customWidth="1"/>
    <col min="12" max="12" width="10" customWidth="1"/>
  </cols>
  <sheetData>
    <row r="1" spans="1:12" ht="16.05" customHeight="1" x14ac:dyDescent="0.3">
      <c r="A1" s="19" t="s">
        <v>0</v>
      </c>
      <c r="B1" s="17"/>
      <c r="C1" s="17"/>
      <c r="D1" s="17"/>
      <c r="E1" s="17"/>
      <c r="F1" s="17"/>
      <c r="G1" s="17"/>
      <c r="H1" s="17"/>
      <c r="I1" s="17"/>
      <c r="J1" s="17"/>
      <c r="K1" s="17"/>
      <c r="L1" s="17"/>
    </row>
    <row r="2" spans="1:12" ht="25.95" customHeight="1" x14ac:dyDescent="0.3">
      <c r="A2" s="37" t="s">
        <v>154</v>
      </c>
      <c r="B2" s="31"/>
      <c r="C2" s="31"/>
      <c r="D2" s="31"/>
      <c r="E2" s="31"/>
      <c r="F2" s="31"/>
      <c r="G2" s="31"/>
      <c r="H2" s="31"/>
      <c r="I2" s="31"/>
      <c r="J2" s="31"/>
      <c r="K2" s="31"/>
      <c r="L2" s="31"/>
    </row>
    <row r="3" spans="1:12" ht="18" customHeight="1" x14ac:dyDescent="0.3">
      <c r="A3" s="21" t="s">
        <v>155</v>
      </c>
      <c r="B3" s="17"/>
      <c r="C3" s="17"/>
      <c r="D3" s="17"/>
      <c r="E3" s="17"/>
      <c r="F3" s="17"/>
      <c r="G3" s="17"/>
      <c r="H3" s="17"/>
      <c r="I3" s="17"/>
      <c r="J3" s="17"/>
      <c r="K3" s="17"/>
      <c r="L3" s="17"/>
    </row>
    <row r="5" spans="1:12" ht="28.05" customHeight="1" x14ac:dyDescent="0.3">
      <c r="A5" s="40" t="s">
        <v>156</v>
      </c>
      <c r="B5" s="40" t="s">
        <v>157</v>
      </c>
      <c r="C5" s="40" t="s">
        <v>158</v>
      </c>
      <c r="D5" s="40" t="s">
        <v>159</v>
      </c>
      <c r="E5" s="40" t="s">
        <v>160</v>
      </c>
      <c r="F5" s="40" t="s">
        <v>161</v>
      </c>
      <c r="G5" s="40" t="s">
        <v>162</v>
      </c>
      <c r="H5" s="40" t="s">
        <v>163</v>
      </c>
      <c r="I5" s="40" t="s">
        <v>164</v>
      </c>
      <c r="J5" s="40" t="s">
        <v>165</v>
      </c>
      <c r="K5" s="40" t="s">
        <v>166</v>
      </c>
      <c r="L5" s="40" t="s">
        <v>167</v>
      </c>
    </row>
    <row r="6" spans="1:12" x14ac:dyDescent="0.3">
      <c r="A6" s="7" t="s">
        <v>168</v>
      </c>
      <c r="B6" s="4" t="s">
        <v>169</v>
      </c>
      <c r="C6" s="4" t="s">
        <v>107</v>
      </c>
      <c r="D6" s="4" t="s">
        <v>118</v>
      </c>
      <c r="E6" s="4" t="s">
        <v>170</v>
      </c>
      <c r="F6" s="7">
        <v>43536</v>
      </c>
      <c r="G6" s="7" t="s">
        <v>102</v>
      </c>
      <c r="H6" s="7" t="s">
        <v>109</v>
      </c>
      <c r="I6" s="7" t="s">
        <v>171</v>
      </c>
      <c r="J6" s="4" t="s">
        <v>172</v>
      </c>
      <c r="K6" s="4" t="s">
        <v>173</v>
      </c>
      <c r="L6" s="7" t="s">
        <v>105</v>
      </c>
    </row>
    <row r="7" spans="1:12" x14ac:dyDescent="0.3">
      <c r="A7" s="7" t="s">
        <v>174</v>
      </c>
      <c r="B7" s="4" t="s">
        <v>175</v>
      </c>
      <c r="C7" s="4" t="s">
        <v>101</v>
      </c>
      <c r="D7" s="4" t="s">
        <v>129</v>
      </c>
      <c r="E7" s="4" t="s">
        <v>170</v>
      </c>
      <c r="F7" s="7">
        <v>43252</v>
      </c>
      <c r="G7" s="7" t="s">
        <v>102</v>
      </c>
      <c r="H7" s="7" t="s">
        <v>103</v>
      </c>
      <c r="I7" s="7" t="s">
        <v>176</v>
      </c>
      <c r="J7" s="4" t="s">
        <v>177</v>
      </c>
      <c r="K7" s="4" t="s">
        <v>178</v>
      </c>
      <c r="L7" s="7" t="s">
        <v>105</v>
      </c>
    </row>
    <row r="8" spans="1:12" x14ac:dyDescent="0.3">
      <c r="A8" s="7" t="s">
        <v>179</v>
      </c>
      <c r="B8" s="4" t="s">
        <v>180</v>
      </c>
      <c r="C8" s="4" t="s">
        <v>114</v>
      </c>
      <c r="D8" s="4" t="s">
        <v>100</v>
      </c>
      <c r="E8" s="4" t="s">
        <v>175</v>
      </c>
      <c r="F8" s="7">
        <v>43845</v>
      </c>
      <c r="G8" s="7" t="s">
        <v>102</v>
      </c>
      <c r="H8" s="7" t="s">
        <v>103</v>
      </c>
      <c r="I8" s="7" t="s">
        <v>181</v>
      </c>
      <c r="J8" s="4" t="s">
        <v>182</v>
      </c>
      <c r="K8" s="4" t="s">
        <v>183</v>
      </c>
      <c r="L8" s="7" t="s">
        <v>105</v>
      </c>
    </row>
    <row r="9" spans="1:12" x14ac:dyDescent="0.3">
      <c r="A9" s="7" t="s">
        <v>184</v>
      </c>
      <c r="B9" s="4" t="s">
        <v>185</v>
      </c>
      <c r="C9" s="4" t="s">
        <v>119</v>
      </c>
      <c r="D9" s="4" t="s">
        <v>100</v>
      </c>
      <c r="E9" s="4" t="s">
        <v>180</v>
      </c>
      <c r="F9" s="7">
        <v>44428</v>
      </c>
      <c r="G9" s="7" t="s">
        <v>102</v>
      </c>
      <c r="H9" s="7" t="s">
        <v>103</v>
      </c>
      <c r="I9" s="7" t="s">
        <v>186</v>
      </c>
      <c r="J9" s="4" t="s">
        <v>187</v>
      </c>
      <c r="K9" s="4" t="s">
        <v>188</v>
      </c>
      <c r="L9" s="7" t="s">
        <v>105</v>
      </c>
    </row>
    <row r="10" spans="1:12" x14ac:dyDescent="0.3">
      <c r="A10" s="7" t="s">
        <v>189</v>
      </c>
      <c r="B10" s="4" t="s">
        <v>190</v>
      </c>
      <c r="C10" s="4" t="s">
        <v>119</v>
      </c>
      <c r="D10" s="4" t="s">
        <v>106</v>
      </c>
      <c r="E10" s="4" t="s">
        <v>175</v>
      </c>
      <c r="F10" s="7">
        <v>44140</v>
      </c>
      <c r="G10" s="7" t="s">
        <v>102</v>
      </c>
      <c r="H10" s="7" t="s">
        <v>116</v>
      </c>
      <c r="I10" s="7" t="s">
        <v>191</v>
      </c>
      <c r="J10" s="4" t="s">
        <v>192</v>
      </c>
      <c r="K10" s="4" t="s">
        <v>193</v>
      </c>
      <c r="L10" s="7" t="s">
        <v>105</v>
      </c>
    </row>
    <row r="11" spans="1:12" x14ac:dyDescent="0.3">
      <c r="A11" s="7" t="s">
        <v>194</v>
      </c>
      <c r="B11" s="4" t="s">
        <v>195</v>
      </c>
      <c r="C11" s="4" t="s">
        <v>119</v>
      </c>
      <c r="D11" s="4" t="s">
        <v>106</v>
      </c>
      <c r="E11" s="4" t="s">
        <v>190</v>
      </c>
      <c r="F11" s="7">
        <v>44606</v>
      </c>
      <c r="G11" s="7" t="s">
        <v>102</v>
      </c>
      <c r="H11" s="7" t="s">
        <v>103</v>
      </c>
      <c r="I11" s="7" t="s">
        <v>196</v>
      </c>
      <c r="J11" s="4" t="s">
        <v>197</v>
      </c>
      <c r="K11" s="4" t="s">
        <v>198</v>
      </c>
      <c r="L11" s="7" t="s">
        <v>105</v>
      </c>
    </row>
    <row r="12" spans="1:12" x14ac:dyDescent="0.3">
      <c r="A12" s="7" t="s">
        <v>199</v>
      </c>
      <c r="B12" s="4" t="s">
        <v>200</v>
      </c>
      <c r="C12" s="4" t="s">
        <v>114</v>
      </c>
      <c r="D12" s="4" t="s">
        <v>113</v>
      </c>
      <c r="E12" s="4" t="s">
        <v>175</v>
      </c>
      <c r="F12" s="7">
        <v>43709</v>
      </c>
      <c r="G12" s="7" t="s">
        <v>102</v>
      </c>
      <c r="H12" s="7" t="s">
        <v>116</v>
      </c>
      <c r="I12" s="7" t="s">
        <v>201</v>
      </c>
      <c r="J12" s="4" t="s">
        <v>202</v>
      </c>
      <c r="K12" s="4" t="s">
        <v>203</v>
      </c>
      <c r="L12" s="7" t="s">
        <v>105</v>
      </c>
    </row>
    <row r="13" spans="1:12" x14ac:dyDescent="0.3">
      <c r="A13" s="7" t="s">
        <v>204</v>
      </c>
      <c r="B13" s="4" t="s">
        <v>205</v>
      </c>
      <c r="C13" s="4" t="s">
        <v>119</v>
      </c>
      <c r="D13" s="4" t="s">
        <v>113</v>
      </c>
      <c r="E13" s="4" t="s">
        <v>200</v>
      </c>
      <c r="F13" s="7">
        <v>45026</v>
      </c>
      <c r="G13" s="7" t="s">
        <v>108</v>
      </c>
      <c r="H13" s="7" t="s">
        <v>103</v>
      </c>
      <c r="I13" s="7" t="s">
        <v>206</v>
      </c>
      <c r="J13" s="4" t="s">
        <v>207</v>
      </c>
      <c r="K13" s="4" t="s">
        <v>208</v>
      </c>
      <c r="L13" s="7" t="s">
        <v>105</v>
      </c>
    </row>
    <row r="14" spans="1:12" x14ac:dyDescent="0.3">
      <c r="A14" s="7" t="s">
        <v>209</v>
      </c>
      <c r="B14" s="4" t="s">
        <v>210</v>
      </c>
      <c r="C14" s="4" t="s">
        <v>124</v>
      </c>
      <c r="D14" s="4" t="s">
        <v>118</v>
      </c>
      <c r="E14" s="4" t="s">
        <v>169</v>
      </c>
      <c r="F14" s="7">
        <v>44334</v>
      </c>
      <c r="G14" s="7" t="s">
        <v>102</v>
      </c>
      <c r="H14" s="7" t="s">
        <v>109</v>
      </c>
      <c r="I14" s="7" t="s">
        <v>211</v>
      </c>
      <c r="J14" s="4" t="s">
        <v>212</v>
      </c>
      <c r="K14" s="4" t="s">
        <v>213</v>
      </c>
      <c r="L14" s="7" t="s">
        <v>105</v>
      </c>
    </row>
    <row r="15" spans="1:12" x14ac:dyDescent="0.3">
      <c r="A15" s="7" t="s">
        <v>214</v>
      </c>
      <c r="B15" s="4" t="s">
        <v>215</v>
      </c>
      <c r="C15" s="4" t="s">
        <v>126</v>
      </c>
      <c r="D15" s="4" t="s">
        <v>123</v>
      </c>
      <c r="E15" s="4" t="s">
        <v>175</v>
      </c>
      <c r="F15" s="7">
        <v>44743</v>
      </c>
      <c r="G15" s="7" t="s">
        <v>102</v>
      </c>
      <c r="H15" s="7" t="s">
        <v>116</v>
      </c>
      <c r="I15" s="7" t="s">
        <v>216</v>
      </c>
      <c r="J15" s="4" t="s">
        <v>217</v>
      </c>
      <c r="K15" s="4" t="s">
        <v>218</v>
      </c>
      <c r="L15" s="7" t="s">
        <v>105</v>
      </c>
    </row>
    <row r="16" spans="1:12" x14ac:dyDescent="0.3">
      <c r="A16" s="7" t="s">
        <v>219</v>
      </c>
      <c r="B16" s="4" t="s">
        <v>220</v>
      </c>
      <c r="C16" s="4" t="s">
        <v>126</v>
      </c>
      <c r="D16" s="4" t="s">
        <v>123</v>
      </c>
      <c r="E16" s="4" t="s">
        <v>175</v>
      </c>
      <c r="F16" s="7">
        <v>43912</v>
      </c>
      <c r="G16" s="7" t="s">
        <v>102</v>
      </c>
      <c r="H16" s="7" t="s">
        <v>109</v>
      </c>
      <c r="I16" s="7" t="s">
        <v>221</v>
      </c>
      <c r="J16" s="4" t="s">
        <v>222</v>
      </c>
      <c r="K16" s="4" t="s">
        <v>223</v>
      </c>
      <c r="L16" s="7" t="s">
        <v>105</v>
      </c>
    </row>
    <row r="17" spans="1:12" x14ac:dyDescent="0.3">
      <c r="A17" s="7" t="s">
        <v>224</v>
      </c>
      <c r="B17" s="4" t="s">
        <v>225</v>
      </c>
      <c r="C17" s="4" t="s">
        <v>124</v>
      </c>
      <c r="D17" s="4" t="s">
        <v>125</v>
      </c>
      <c r="E17" s="4" t="s">
        <v>175</v>
      </c>
      <c r="F17" s="7">
        <v>44536</v>
      </c>
      <c r="G17" s="7" t="s">
        <v>102</v>
      </c>
      <c r="H17" s="7" t="s">
        <v>103</v>
      </c>
      <c r="I17" s="7" t="s">
        <v>226</v>
      </c>
      <c r="J17" s="4" t="s">
        <v>227</v>
      </c>
      <c r="K17" s="4" t="s">
        <v>228</v>
      </c>
      <c r="L17" s="7" t="s">
        <v>105</v>
      </c>
    </row>
    <row r="18" spans="1:12" x14ac:dyDescent="0.3">
      <c r="A18" s="7" t="s">
        <v>229</v>
      </c>
      <c r="B18" s="4" t="s">
        <v>230</v>
      </c>
      <c r="C18" s="4" t="s">
        <v>128</v>
      </c>
      <c r="D18" s="4" t="s">
        <v>127</v>
      </c>
      <c r="E18" s="4" t="s">
        <v>175</v>
      </c>
      <c r="F18" s="7">
        <v>43661</v>
      </c>
      <c r="G18" s="7" t="s">
        <v>102</v>
      </c>
      <c r="H18" s="7" t="s">
        <v>109</v>
      </c>
      <c r="I18" s="7" t="s">
        <v>231</v>
      </c>
      <c r="J18" s="4" t="s">
        <v>232</v>
      </c>
      <c r="K18" s="4" t="s">
        <v>233</v>
      </c>
      <c r="L18" s="7" t="s">
        <v>105</v>
      </c>
    </row>
    <row r="19" spans="1:12" x14ac:dyDescent="0.3">
      <c r="A19" s="7" t="s">
        <v>234</v>
      </c>
      <c r="B19" s="4" t="s">
        <v>235</v>
      </c>
      <c r="C19" s="4" t="s">
        <v>119</v>
      </c>
      <c r="D19" s="4" t="s">
        <v>100</v>
      </c>
      <c r="E19" s="4" t="s">
        <v>180</v>
      </c>
      <c r="F19" s="7">
        <v>45299</v>
      </c>
      <c r="G19" s="7" t="s">
        <v>115</v>
      </c>
      <c r="H19" s="7" t="s">
        <v>116</v>
      </c>
      <c r="I19" s="7" t="s">
        <v>236</v>
      </c>
      <c r="J19" s="4" t="s">
        <v>237</v>
      </c>
      <c r="K19" s="4" t="s">
        <v>238</v>
      </c>
      <c r="L19" s="7" t="s">
        <v>105</v>
      </c>
    </row>
    <row r="20" spans="1:12" x14ac:dyDescent="0.3">
      <c r="A20" s="7" t="s">
        <v>239</v>
      </c>
      <c r="B20" s="4" t="s">
        <v>240</v>
      </c>
      <c r="C20" s="4" t="s">
        <v>130</v>
      </c>
      <c r="D20" s="4" t="s">
        <v>129</v>
      </c>
      <c r="E20" s="4" t="s">
        <v>175</v>
      </c>
      <c r="F20" s="7">
        <v>44816</v>
      </c>
      <c r="G20" s="7" t="s">
        <v>102</v>
      </c>
      <c r="H20" s="7" t="s">
        <v>109</v>
      </c>
      <c r="I20" s="7" t="s">
        <v>241</v>
      </c>
      <c r="J20" s="4" t="s">
        <v>242</v>
      </c>
      <c r="K20" s="4" t="s">
        <v>243</v>
      </c>
      <c r="L20" s="7" t="s">
        <v>105</v>
      </c>
    </row>
    <row r="21" spans="1:12" x14ac:dyDescent="0.3">
      <c r="A21" s="7" t="s">
        <v>244</v>
      </c>
      <c r="B21" s="4" t="s">
        <v>245</v>
      </c>
      <c r="C21" s="4" t="s">
        <v>119</v>
      </c>
      <c r="D21" s="4" t="s">
        <v>106</v>
      </c>
      <c r="E21" s="4" t="s">
        <v>190</v>
      </c>
      <c r="F21" s="7">
        <v>45097</v>
      </c>
      <c r="G21" s="7" t="s">
        <v>108</v>
      </c>
      <c r="H21" s="7" t="s">
        <v>121</v>
      </c>
      <c r="I21" s="7" t="s">
        <v>246</v>
      </c>
      <c r="J21" s="4" t="s">
        <v>247</v>
      </c>
      <c r="K21" s="4" t="s">
        <v>248</v>
      </c>
      <c r="L21" s="7" t="s">
        <v>105</v>
      </c>
    </row>
    <row r="22" spans="1:12" x14ac:dyDescent="0.3">
      <c r="A22" s="7" t="s">
        <v>249</v>
      </c>
      <c r="B22" s="4" t="s">
        <v>250</v>
      </c>
      <c r="C22" s="4" t="s">
        <v>124</v>
      </c>
      <c r="D22" s="4" t="s">
        <v>113</v>
      </c>
      <c r="E22" s="4" t="s">
        <v>200</v>
      </c>
      <c r="F22" s="7">
        <v>44134</v>
      </c>
      <c r="G22" s="7" t="s">
        <v>102</v>
      </c>
      <c r="H22" s="7" t="s">
        <v>116</v>
      </c>
      <c r="I22" s="7" t="s">
        <v>251</v>
      </c>
      <c r="J22" s="4" t="s">
        <v>252</v>
      </c>
      <c r="K22" s="4" t="s">
        <v>253</v>
      </c>
      <c r="L22" s="7" t="s">
        <v>105</v>
      </c>
    </row>
    <row r="23" spans="1:12" x14ac:dyDescent="0.3">
      <c r="A23" s="7" t="s">
        <v>254</v>
      </c>
      <c r="B23" s="4" t="s">
        <v>255</v>
      </c>
      <c r="C23" s="4" t="s">
        <v>126</v>
      </c>
      <c r="D23" s="4" t="s">
        <v>123</v>
      </c>
      <c r="E23" s="4" t="s">
        <v>175</v>
      </c>
      <c r="F23" s="7">
        <v>45352</v>
      </c>
      <c r="G23" s="7" t="s">
        <v>120</v>
      </c>
      <c r="H23" s="7" t="s">
        <v>109</v>
      </c>
      <c r="I23" s="7" t="s">
        <v>256</v>
      </c>
      <c r="J23" s="4" t="s">
        <v>257</v>
      </c>
      <c r="K23" s="4" t="s">
        <v>258</v>
      </c>
      <c r="L23" s="7" t="s">
        <v>105</v>
      </c>
    </row>
    <row r="24" spans="1:12" x14ac:dyDescent="0.3">
      <c r="A24" s="7" t="s">
        <v>259</v>
      </c>
      <c r="B24" s="4" t="s">
        <v>260</v>
      </c>
      <c r="C24" s="4" t="s">
        <v>119</v>
      </c>
      <c r="D24" s="4" t="s">
        <v>118</v>
      </c>
      <c r="E24" s="4" t="s">
        <v>169</v>
      </c>
      <c r="F24" s="7">
        <v>44291</v>
      </c>
      <c r="G24" s="7" t="s">
        <v>102</v>
      </c>
      <c r="H24" s="7" t="s">
        <v>109</v>
      </c>
      <c r="I24" s="7" t="s">
        <v>261</v>
      </c>
      <c r="J24" s="4" t="s">
        <v>262</v>
      </c>
      <c r="K24" s="4" t="s">
        <v>263</v>
      </c>
      <c r="L24" s="7" t="s">
        <v>105</v>
      </c>
    </row>
    <row r="25" spans="1:12" x14ac:dyDescent="0.3">
      <c r="A25" s="8" t="s">
        <v>264</v>
      </c>
      <c r="B25" s="9" t="s">
        <v>265</v>
      </c>
      <c r="C25" s="9" t="s">
        <v>114</v>
      </c>
      <c r="D25" s="9" t="s">
        <v>125</v>
      </c>
      <c r="E25" s="9" t="s">
        <v>175</v>
      </c>
      <c r="F25" s="8">
        <v>43423</v>
      </c>
      <c r="G25" s="8" t="s">
        <v>102</v>
      </c>
      <c r="H25" s="8" t="s">
        <v>103</v>
      </c>
      <c r="I25" s="8" t="s">
        <v>266</v>
      </c>
      <c r="J25" s="9" t="s">
        <v>267</v>
      </c>
      <c r="K25" s="9" t="s">
        <v>268</v>
      </c>
      <c r="L25" s="8" t="s">
        <v>112</v>
      </c>
    </row>
    <row r="47" spans="1:6" x14ac:dyDescent="0.3">
      <c r="A47" s="10" t="s">
        <v>269</v>
      </c>
      <c r="B47">
        <f>COUNTA(A6:A45)</f>
        <v>20</v>
      </c>
      <c r="C47" s="10" t="s">
        <v>105</v>
      </c>
      <c r="D47">
        <f>COUNTIF(L6:L45,"Active")</f>
        <v>19</v>
      </c>
      <c r="E47" s="10" t="s">
        <v>112</v>
      </c>
      <c r="F47">
        <f>COUNTIF(L6:L45,"Inactive")</f>
        <v>1</v>
      </c>
    </row>
  </sheetData>
  <autoFilter ref="A5:L45" xr:uid="{00000000-0009-0000-0000-000002000000}"/>
  <mergeCells count="3">
    <mergeCell ref="A3:L3"/>
    <mergeCell ref="A2:L2"/>
    <mergeCell ref="A1:L1"/>
  </mergeCells>
  <conditionalFormatting sqref="L6:L45">
    <cfRule type="cellIs" dxfId="28" priority="1" operator="equal">
      <formula>"Active"</formula>
    </cfRule>
    <cfRule type="cellIs" dxfId="27" priority="2" operator="equal">
      <formula>"Inactive"</formula>
    </cfRule>
  </conditionalFormatting>
  <pageMargins left="0.4" right="0.4" top="0.5" bottom="0.5" header="0.2" footer="0.2"/>
  <pageSetup paperSize="9" fitToHeight="0" orientation="landscape"/>
  <extLst>
    <ext xmlns:x14="http://schemas.microsoft.com/office/spreadsheetml/2009/9/main" uri="{CCE6A557-97BC-4b89-ADB6-D9C93CAAB3DF}">
      <x14:dataValidations xmlns:xm="http://schemas.microsoft.com/office/excel/2006/main" count="5">
        <x14:dataValidation type="list" allowBlank="1" xr:uid="{00000000-0002-0000-0200-000000000000}">
          <x14:formula1>
            <xm:f>'01_Config'!$C$17:$C$24</xm:f>
          </x14:formula1>
          <xm:sqref>C6 C7 C8 C9 C10 C11 C12 C13 C14 C15 C16 C17 C18 C19 C20 C21 C22 C23 C24 C25 C26 C27 C28 C29 C30 C31 C32 C33 C34 C35 C36 C37 C38 C39 C40 C41 C42 C43 C44 C45</xm:sqref>
        </x14:dataValidation>
        <x14:dataValidation type="list" allowBlank="1" xr:uid="{00000000-0002-0000-0200-000001000000}">
          <x14:formula1>
            <xm:f>'01_Config'!$B$17:$B$24</xm:f>
          </x14:formula1>
          <xm:sqref>D6 D7 D8 D9 D10 D11 D12 D13 D14 D15 D16 D17 D18 D19 D20 D21 D22 D23 D24 D25 D26 D27 D28 D29 D30 D31 D32 D33 D34 D35 D36 D37 D38 D39 D40 D41 D42 D43 D44 D45</xm:sqref>
        </x14:dataValidation>
        <x14:dataValidation type="list" allowBlank="1" xr:uid="{00000000-0002-0000-0200-000002000000}">
          <x14:formula1>
            <xm:f>'01_Config'!$D$17:$D$20</xm:f>
          </x14:formula1>
          <xm:sqref>G6 G7 G8 G9 G10 G11 G12 G13 G14 G15 G16 G17 G18 G19 G20 G21 G22 G23 G24 G25 G26 G27 G28 G29 G30 G31 G32 G33 G34 G35 G36 G37 G38 G39 G40 G41 G42 G43 G44 G45</xm:sqref>
        </x14:dataValidation>
        <x14:dataValidation type="list" allowBlank="1" xr:uid="{00000000-0002-0000-0200-000003000000}">
          <x14:formula1>
            <xm:f>'01_Config'!$F$17:$F$20</xm:f>
          </x14:formula1>
          <xm:sqref>H6 H7 H8 H9 H10 H11 H12 H13 H14 H15 H16 H17 H18 H19 H20 H21 H22 H23 H24 H25 H26 H27 H28 H29 H30 H31 H32 H33 H34 H35 H36 H37 H38 H39 H40 H41 H42 H43 H44 H45</xm:sqref>
        </x14:dataValidation>
        <x14:dataValidation type="list" xr:uid="{00000000-0002-0000-0200-000004000000}">
          <x14:formula1>
            <xm:f>'01_Config'!$I$17:$I$18</xm:f>
          </x14:formula1>
          <xm:sqref>L6 L7 L8 L9 L10 L11 L12 L13 L14 L15 L16 L17 L18 L19 L20 L21 L22 L23 L24 L25 L26 L27 L28 L29 L30 L31 L32 L33 L34 L35 L36 L37 L38 L39 L40 L41 L42 L43 L44 L45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565C0"/>
    <pageSetUpPr fitToPage="1"/>
  </sheetPr>
  <dimension ref="A1:AM30"/>
  <sheetViews>
    <sheetView showGridLines="0" tabSelected="1" zoomScale="90" workbookViewId="0">
      <pane xSplit="4" ySplit="7" topLeftCell="E8" activePane="bottomRight" state="frozen"/>
      <selection pane="topRight"/>
      <selection pane="bottomLeft"/>
      <selection pane="bottomRight" activeCell="B6" sqref="B6"/>
    </sheetView>
  </sheetViews>
  <sheetFormatPr defaultRowHeight="14.4" x14ac:dyDescent="0.3"/>
  <cols>
    <col min="1" max="1" width="10" customWidth="1"/>
    <col min="2" max="2" width="20" customWidth="1"/>
    <col min="3" max="3" width="16" customWidth="1"/>
    <col min="4" max="4" width="22" customWidth="1"/>
    <col min="5" max="34" width="3.44140625" customWidth="1"/>
    <col min="35" max="36" width="9" customWidth="1"/>
    <col min="37" max="37" width="18" customWidth="1"/>
    <col min="38" max="38" width="22" customWidth="1"/>
    <col min="39" max="39" width="18" customWidth="1"/>
  </cols>
  <sheetData>
    <row r="1" spans="1:39" ht="16.05" customHeight="1" x14ac:dyDescent="0.3">
      <c r="A1" s="36" t="s">
        <v>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row>
    <row r="2" spans="1:39" ht="25.95" customHeight="1" x14ac:dyDescent="0.3">
      <c r="A2" s="37" t="s">
        <v>270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row>
    <row r="3" spans="1:39" ht="18" customHeight="1" x14ac:dyDescent="0.3">
      <c r="A3" s="38" t="s">
        <v>271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row>
    <row r="4" spans="1:39"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row>
    <row r="5" spans="1:39" ht="50.4" customHeight="1" x14ac:dyDescent="0.3">
      <c r="A5" s="26" t="s">
        <v>272</v>
      </c>
      <c r="B5" s="32">
        <v>9</v>
      </c>
      <c r="C5" s="26" t="s">
        <v>273</v>
      </c>
      <c r="D5" s="32">
        <v>2026</v>
      </c>
      <c r="E5" s="48" t="s">
        <v>274</v>
      </c>
      <c r="F5" s="31"/>
      <c r="G5" s="31"/>
      <c r="H5" s="31"/>
      <c r="I5" s="31"/>
      <c r="J5" s="31"/>
      <c r="K5" s="31"/>
      <c r="L5" s="31"/>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row>
    <row r="6" spans="1:39" ht="22.05" customHeight="1" x14ac:dyDescent="0.3">
      <c r="A6" s="26" t="s">
        <v>275</v>
      </c>
      <c r="B6" s="26" t="s">
        <v>157</v>
      </c>
      <c r="C6" s="26" t="s">
        <v>159</v>
      </c>
      <c r="D6" s="26" t="s">
        <v>158</v>
      </c>
      <c r="E6" s="26">
        <v>1</v>
      </c>
      <c r="F6" s="26">
        <v>2</v>
      </c>
      <c r="G6" s="26">
        <v>3</v>
      </c>
      <c r="H6" s="26">
        <v>4</v>
      </c>
      <c r="I6" s="26">
        <v>5</v>
      </c>
      <c r="J6" s="26">
        <v>6</v>
      </c>
      <c r="K6" s="26">
        <v>7</v>
      </c>
      <c r="L6" s="26">
        <v>8</v>
      </c>
      <c r="M6" s="26">
        <v>9</v>
      </c>
      <c r="N6" s="26">
        <v>10</v>
      </c>
      <c r="O6" s="26">
        <v>11</v>
      </c>
      <c r="P6" s="26">
        <v>12</v>
      </c>
      <c r="Q6" s="26">
        <v>13</v>
      </c>
      <c r="R6" s="26">
        <v>14</v>
      </c>
      <c r="S6" s="26">
        <v>15</v>
      </c>
      <c r="T6" s="26">
        <v>16</v>
      </c>
      <c r="U6" s="26">
        <v>17</v>
      </c>
      <c r="V6" s="26">
        <v>18</v>
      </c>
      <c r="W6" s="26">
        <v>19</v>
      </c>
      <c r="X6" s="26">
        <v>20</v>
      </c>
      <c r="Y6" s="26">
        <v>21</v>
      </c>
      <c r="Z6" s="26">
        <v>22</v>
      </c>
      <c r="AA6" s="26">
        <v>23</v>
      </c>
      <c r="AB6" s="26">
        <v>24</v>
      </c>
      <c r="AC6" s="26">
        <v>25</v>
      </c>
      <c r="AD6" s="26">
        <v>26</v>
      </c>
      <c r="AE6" s="26">
        <v>27</v>
      </c>
      <c r="AF6" s="26">
        <v>28</v>
      </c>
      <c r="AG6" s="26">
        <v>29</v>
      </c>
      <c r="AH6" s="26">
        <v>30</v>
      </c>
      <c r="AI6" s="26" t="s">
        <v>276</v>
      </c>
      <c r="AJ6" s="26" t="s">
        <v>277</v>
      </c>
      <c r="AK6" s="26" t="s">
        <v>278</v>
      </c>
      <c r="AL6" s="26" t="s">
        <v>279</v>
      </c>
      <c r="AM6" s="26" t="s">
        <v>280</v>
      </c>
    </row>
    <row r="7" spans="1:39" ht="13.95" customHeight="1" x14ac:dyDescent="0.3">
      <c r="A7" s="24"/>
      <c r="B7" s="24"/>
      <c r="C7" s="24"/>
      <c r="D7" s="24"/>
      <c r="E7" s="49" t="s">
        <v>281</v>
      </c>
      <c r="F7" s="49" t="s">
        <v>282</v>
      </c>
      <c r="G7" s="49" t="s">
        <v>281</v>
      </c>
      <c r="H7" s="49" t="s">
        <v>283</v>
      </c>
      <c r="I7" s="49" t="s">
        <v>284</v>
      </c>
      <c r="J7" s="49" t="s">
        <v>284</v>
      </c>
      <c r="K7" s="49" t="s">
        <v>39</v>
      </c>
      <c r="L7" s="49" t="s">
        <v>281</v>
      </c>
      <c r="M7" s="49" t="s">
        <v>282</v>
      </c>
      <c r="N7" s="49" t="s">
        <v>281</v>
      </c>
      <c r="O7" s="49" t="s">
        <v>283</v>
      </c>
      <c r="P7" s="49" t="s">
        <v>284</v>
      </c>
      <c r="Q7" s="49" t="s">
        <v>284</v>
      </c>
      <c r="R7" s="49" t="s">
        <v>39</v>
      </c>
      <c r="S7" s="49" t="s">
        <v>281</v>
      </c>
      <c r="T7" s="49" t="s">
        <v>282</v>
      </c>
      <c r="U7" s="49" t="s">
        <v>281</v>
      </c>
      <c r="V7" s="49" t="s">
        <v>283</v>
      </c>
      <c r="W7" s="49" t="s">
        <v>284</v>
      </c>
      <c r="X7" s="49" t="s">
        <v>284</v>
      </c>
      <c r="Y7" s="49" t="s">
        <v>39</v>
      </c>
      <c r="Z7" s="49" t="s">
        <v>281</v>
      </c>
      <c r="AA7" s="49" t="s">
        <v>282</v>
      </c>
      <c r="AB7" s="49" t="s">
        <v>281</v>
      </c>
      <c r="AC7" s="49" t="s">
        <v>283</v>
      </c>
      <c r="AD7" s="49" t="s">
        <v>284</v>
      </c>
      <c r="AE7" s="49" t="s">
        <v>284</v>
      </c>
      <c r="AF7" s="49" t="s">
        <v>39</v>
      </c>
      <c r="AG7" s="49" t="s">
        <v>281</v>
      </c>
      <c r="AH7" s="49" t="s">
        <v>282</v>
      </c>
      <c r="AI7" s="24"/>
      <c r="AJ7" s="24"/>
      <c r="AK7" s="24"/>
      <c r="AL7" s="24"/>
      <c r="AM7" s="24"/>
    </row>
    <row r="8" spans="1:39" ht="18" customHeight="1" x14ac:dyDescent="0.3">
      <c r="A8" s="7" t="str">
        <f>'02_Employee_Master'!A6</f>
        <v>PL-001</v>
      </c>
      <c r="B8" s="4" t="str">
        <f>'02_Employee_Master'!B6</f>
        <v>Dr. Ananya Mehta</v>
      </c>
      <c r="C8" s="4" t="str">
        <f>'02_Employee_Master'!D6</f>
        <v>Histopathology</v>
      </c>
      <c r="D8" s="4" t="str">
        <f>'02_Employee_Master'!C6</f>
        <v>Pathologist</v>
      </c>
      <c r="E8" s="13" t="s">
        <v>39</v>
      </c>
      <c r="F8" s="13" t="s">
        <v>39</v>
      </c>
      <c r="G8" s="13" t="s">
        <v>39</v>
      </c>
      <c r="H8" s="13" t="s">
        <v>39</v>
      </c>
      <c r="I8" s="13" t="s">
        <v>39</v>
      </c>
      <c r="J8" s="13" t="s">
        <v>39</v>
      </c>
      <c r="K8" s="13" t="s">
        <v>60</v>
      </c>
      <c r="L8" s="13" t="s">
        <v>39</v>
      </c>
      <c r="M8" s="13" t="s">
        <v>39</v>
      </c>
      <c r="N8" s="13" t="s">
        <v>39</v>
      </c>
      <c r="O8" s="13" t="s">
        <v>39</v>
      </c>
      <c r="P8" s="13" t="s">
        <v>39</v>
      </c>
      <c r="Q8" s="13" t="s">
        <v>39</v>
      </c>
      <c r="R8" s="13" t="s">
        <v>60</v>
      </c>
      <c r="S8" s="13" t="s">
        <v>39</v>
      </c>
      <c r="T8" s="13" t="s">
        <v>39</v>
      </c>
      <c r="U8" s="13" t="s">
        <v>39</v>
      </c>
      <c r="V8" s="13" t="s">
        <v>39</v>
      </c>
      <c r="W8" s="13" t="s">
        <v>39</v>
      </c>
      <c r="X8" s="13" t="s">
        <v>39</v>
      </c>
      <c r="Y8" s="13" t="s">
        <v>60</v>
      </c>
      <c r="Z8" s="13" t="s">
        <v>39</v>
      </c>
      <c r="AA8" s="13" t="s">
        <v>39</v>
      </c>
      <c r="AB8" s="13" t="s">
        <v>39</v>
      </c>
      <c r="AC8" s="13" t="s">
        <v>39</v>
      </c>
      <c r="AD8" s="13" t="s">
        <v>39</v>
      </c>
      <c r="AE8" s="13" t="s">
        <v>39</v>
      </c>
      <c r="AF8" s="13" t="s">
        <v>60</v>
      </c>
      <c r="AG8" s="13" t="s">
        <v>39</v>
      </c>
      <c r="AH8" s="13" t="s">
        <v>39</v>
      </c>
      <c r="AI8" s="7">
        <f t="shared" ref="AI8:AI27" si="0">COUNTIF(E8:AH8,"WO")</f>
        <v>4</v>
      </c>
      <c r="AJ8" s="7">
        <v>0</v>
      </c>
      <c r="AK8" s="7" t="s">
        <v>175</v>
      </c>
      <c r="AL8" s="7"/>
      <c r="AM8" s="7"/>
    </row>
    <row r="9" spans="1:39" ht="18" customHeight="1" x14ac:dyDescent="0.3">
      <c r="A9" s="7" t="str">
        <f>'02_Employee_Master'!A7</f>
        <v>PL-002</v>
      </c>
      <c r="B9" s="4" t="str">
        <f>'02_Employee_Master'!B7</f>
        <v>Vikram Singh</v>
      </c>
      <c r="C9" s="4" t="str">
        <f>'02_Employee_Master'!D7</f>
        <v>Administration</v>
      </c>
      <c r="D9" s="4" t="str">
        <f>'02_Employee_Master'!C7</f>
        <v>Lab Manager</v>
      </c>
      <c r="E9" s="13" t="s">
        <v>39</v>
      </c>
      <c r="F9" s="13" t="s">
        <v>60</v>
      </c>
      <c r="G9" s="13" t="s">
        <v>39</v>
      </c>
      <c r="H9" s="13" t="s">
        <v>46</v>
      </c>
      <c r="I9" s="13" t="s">
        <v>39</v>
      </c>
      <c r="J9" s="13" t="s">
        <v>39</v>
      </c>
      <c r="K9" s="13" t="s">
        <v>39</v>
      </c>
      <c r="L9" s="13" t="s">
        <v>39</v>
      </c>
      <c r="M9" s="13" t="s">
        <v>60</v>
      </c>
      <c r="N9" s="13" t="s">
        <v>39</v>
      </c>
      <c r="O9" s="13" t="s">
        <v>39</v>
      </c>
      <c r="P9" s="13" t="s">
        <v>39</v>
      </c>
      <c r="Q9" s="13" t="s">
        <v>39</v>
      </c>
      <c r="R9" s="13" t="s">
        <v>46</v>
      </c>
      <c r="S9" s="13" t="s">
        <v>39</v>
      </c>
      <c r="T9" s="13" t="s">
        <v>60</v>
      </c>
      <c r="U9" s="13" t="s">
        <v>39</v>
      </c>
      <c r="V9" s="13" t="s">
        <v>39</v>
      </c>
      <c r="W9" s="13" t="s">
        <v>46</v>
      </c>
      <c r="X9" s="13" t="s">
        <v>39</v>
      </c>
      <c r="Y9" s="13" t="s">
        <v>39</v>
      </c>
      <c r="Z9" s="13" t="s">
        <v>39</v>
      </c>
      <c r="AA9" s="13" t="s">
        <v>60</v>
      </c>
      <c r="AB9" s="13" t="s">
        <v>46</v>
      </c>
      <c r="AC9" s="13" t="s">
        <v>39</v>
      </c>
      <c r="AD9" s="13" t="s">
        <v>39</v>
      </c>
      <c r="AE9" s="13" t="s">
        <v>39</v>
      </c>
      <c r="AF9" s="13" t="s">
        <v>39</v>
      </c>
      <c r="AG9" s="13" t="s">
        <v>46</v>
      </c>
      <c r="AH9" s="13" t="s">
        <v>60</v>
      </c>
      <c r="AI9" s="7">
        <f t="shared" si="0"/>
        <v>5</v>
      </c>
      <c r="AJ9" s="7">
        <v>0</v>
      </c>
      <c r="AK9" s="7"/>
      <c r="AL9" s="7"/>
      <c r="AM9" s="7"/>
    </row>
    <row r="10" spans="1:39" ht="18" customHeight="1" x14ac:dyDescent="0.3">
      <c r="A10" s="7" t="str">
        <f>'02_Employee_Master'!A8</f>
        <v>PL-003</v>
      </c>
      <c r="B10" s="4" t="str">
        <f>'02_Employee_Master'!B8</f>
        <v>Sneha Patel</v>
      </c>
      <c r="C10" s="4" t="str">
        <f>'02_Employee_Master'!D8</f>
        <v>Hematology</v>
      </c>
      <c r="D10" s="4" t="str">
        <f>'02_Employee_Master'!C8</f>
        <v>Senior Lab Technologist</v>
      </c>
      <c r="E10" s="13" t="s">
        <v>53</v>
      </c>
      <c r="F10" s="13" t="s">
        <v>39</v>
      </c>
      <c r="G10" s="13" t="s">
        <v>46</v>
      </c>
      <c r="H10" s="13" t="s">
        <v>60</v>
      </c>
      <c r="I10" s="13" t="s">
        <v>39</v>
      </c>
      <c r="J10" s="13" t="s">
        <v>39</v>
      </c>
      <c r="K10" s="13" t="s">
        <v>39</v>
      </c>
      <c r="L10" s="13" t="s">
        <v>53</v>
      </c>
      <c r="M10" s="13" t="s">
        <v>39</v>
      </c>
      <c r="N10" s="13" t="s">
        <v>39</v>
      </c>
      <c r="O10" s="13" t="s">
        <v>60</v>
      </c>
      <c r="P10" s="13" t="s">
        <v>39</v>
      </c>
      <c r="Q10" s="13" t="s">
        <v>46</v>
      </c>
      <c r="R10" s="13" t="s">
        <v>39</v>
      </c>
      <c r="S10" s="13" t="s">
        <v>53</v>
      </c>
      <c r="T10" s="13" t="s">
        <v>39</v>
      </c>
      <c r="U10" s="13" t="s">
        <v>39</v>
      </c>
      <c r="V10" s="13" t="s">
        <v>60</v>
      </c>
      <c r="W10" s="13" t="s">
        <v>39</v>
      </c>
      <c r="X10" s="13" t="s">
        <v>39</v>
      </c>
      <c r="Y10" s="13" t="s">
        <v>39</v>
      </c>
      <c r="Z10" s="13" t="s">
        <v>53</v>
      </c>
      <c r="AA10" s="13" t="s">
        <v>46</v>
      </c>
      <c r="AB10" s="13" t="s">
        <v>39</v>
      </c>
      <c r="AC10" s="13" t="s">
        <v>60</v>
      </c>
      <c r="AD10" s="13" t="s">
        <v>39</v>
      </c>
      <c r="AE10" s="13" t="s">
        <v>39</v>
      </c>
      <c r="AF10" s="13" t="s">
        <v>46</v>
      </c>
      <c r="AG10" s="13" t="s">
        <v>53</v>
      </c>
      <c r="AH10" s="13" t="s">
        <v>39</v>
      </c>
      <c r="AI10" s="7">
        <f t="shared" si="0"/>
        <v>4</v>
      </c>
      <c r="AJ10" s="7">
        <v>0</v>
      </c>
      <c r="AK10" s="7"/>
      <c r="AL10" s="7"/>
      <c r="AM10" s="7"/>
    </row>
    <row r="11" spans="1:39" ht="18" customHeight="1" x14ac:dyDescent="0.3">
      <c r="A11" s="7" t="str">
        <f>'02_Employee_Master'!A9</f>
        <v>PL-004</v>
      </c>
      <c r="B11" s="4" t="str">
        <f>'02_Employee_Master'!B9</f>
        <v>Rahul Nair</v>
      </c>
      <c r="C11" s="4" t="str">
        <f>'02_Employee_Master'!D9</f>
        <v>Hematology</v>
      </c>
      <c r="D11" s="4" t="str">
        <f>'02_Employee_Master'!C9</f>
        <v>Lab Technologist</v>
      </c>
      <c r="E11" s="13" t="s">
        <v>39</v>
      </c>
      <c r="F11" s="13" t="s">
        <v>46</v>
      </c>
      <c r="G11" s="13" t="s">
        <v>39</v>
      </c>
      <c r="H11" s="13" t="s">
        <v>39</v>
      </c>
      <c r="I11" s="13" t="s">
        <v>39</v>
      </c>
      <c r="J11" s="13" t="s">
        <v>60</v>
      </c>
      <c r="K11" s="13" t="s">
        <v>53</v>
      </c>
      <c r="L11" s="13" t="s">
        <v>39</v>
      </c>
      <c r="M11" s="13" t="s">
        <v>39</v>
      </c>
      <c r="N11" s="13" t="s">
        <v>39</v>
      </c>
      <c r="O11" s="13" t="s">
        <v>39</v>
      </c>
      <c r="P11" s="13" t="s">
        <v>46</v>
      </c>
      <c r="Q11" s="13" t="s">
        <v>60</v>
      </c>
      <c r="R11" s="13" t="s">
        <v>53</v>
      </c>
      <c r="S11" s="13" t="s">
        <v>39</v>
      </c>
      <c r="T11" s="13" t="s">
        <v>39</v>
      </c>
      <c r="U11" s="13" t="s">
        <v>46</v>
      </c>
      <c r="V11" s="13" t="s">
        <v>39</v>
      </c>
      <c r="W11" s="13" t="s">
        <v>39</v>
      </c>
      <c r="X11" s="13" t="s">
        <v>60</v>
      </c>
      <c r="Y11" s="13" t="s">
        <v>53</v>
      </c>
      <c r="Z11" s="13" t="s">
        <v>46</v>
      </c>
      <c r="AA11" s="13" t="s">
        <v>39</v>
      </c>
      <c r="AB11" s="13" t="s">
        <v>39</v>
      </c>
      <c r="AC11" s="13" t="s">
        <v>39</v>
      </c>
      <c r="AD11" s="13" t="s">
        <v>39</v>
      </c>
      <c r="AE11" s="13" t="s">
        <v>60</v>
      </c>
      <c r="AF11" s="13" t="s">
        <v>53</v>
      </c>
      <c r="AG11" s="13" t="s">
        <v>39</v>
      </c>
      <c r="AH11" s="13" t="s">
        <v>39</v>
      </c>
      <c r="AI11" s="7">
        <f t="shared" si="0"/>
        <v>4</v>
      </c>
      <c r="AJ11" s="7">
        <v>0</v>
      </c>
      <c r="AK11" s="7"/>
      <c r="AL11" s="7"/>
      <c r="AM11" s="7"/>
    </row>
    <row r="12" spans="1:39" ht="18" customHeight="1" x14ac:dyDescent="0.3">
      <c r="A12" s="7" t="str">
        <f>'02_Employee_Master'!A10</f>
        <v>PL-005</v>
      </c>
      <c r="B12" s="4" t="str">
        <f>'02_Employee_Master'!B10</f>
        <v>Fatima Khan</v>
      </c>
      <c r="C12" s="4" t="str">
        <f>'02_Employee_Master'!D10</f>
        <v>Biochemistry</v>
      </c>
      <c r="D12" s="4" t="str">
        <f>'02_Employee_Master'!C10</f>
        <v>Lab Technologist</v>
      </c>
      <c r="E12" s="13" t="s">
        <v>60</v>
      </c>
      <c r="F12" s="13" t="s">
        <v>46</v>
      </c>
      <c r="G12" s="13" t="s">
        <v>39</v>
      </c>
      <c r="H12" s="13" t="s">
        <v>39</v>
      </c>
      <c r="I12" s="13" t="s">
        <v>46</v>
      </c>
      <c r="J12" s="13" t="s">
        <v>39</v>
      </c>
      <c r="K12" s="13" t="s">
        <v>39</v>
      </c>
      <c r="L12" s="13" t="s">
        <v>60</v>
      </c>
      <c r="M12" s="13" t="s">
        <v>39</v>
      </c>
      <c r="N12" s="13" t="s">
        <v>39</v>
      </c>
      <c r="O12" s="13" t="s">
        <v>46</v>
      </c>
      <c r="P12" s="13" t="s">
        <v>39</v>
      </c>
      <c r="Q12" s="13" t="s">
        <v>39</v>
      </c>
      <c r="R12" s="13" t="s">
        <v>46</v>
      </c>
      <c r="S12" s="13" t="s">
        <v>60</v>
      </c>
      <c r="T12" s="13" t="s">
        <v>39</v>
      </c>
      <c r="U12" s="13" t="s">
        <v>46</v>
      </c>
      <c r="V12" s="13" t="s">
        <v>39</v>
      </c>
      <c r="W12" s="13" t="s">
        <v>39</v>
      </c>
      <c r="X12" s="13" t="s">
        <v>46</v>
      </c>
      <c r="Y12" s="13" t="s">
        <v>39</v>
      </c>
      <c r="Z12" s="13" t="s">
        <v>60</v>
      </c>
      <c r="AA12" s="13" t="s">
        <v>46</v>
      </c>
      <c r="AB12" s="13" t="s">
        <v>39</v>
      </c>
      <c r="AC12" s="13" t="s">
        <v>39</v>
      </c>
      <c r="AD12" s="13" t="s">
        <v>46</v>
      </c>
      <c r="AE12" s="13" t="s">
        <v>39</v>
      </c>
      <c r="AF12" s="13" t="s">
        <v>39</v>
      </c>
      <c r="AG12" s="13" t="s">
        <v>60</v>
      </c>
      <c r="AH12" s="13" t="s">
        <v>39</v>
      </c>
      <c r="AI12" s="7">
        <f t="shared" si="0"/>
        <v>5</v>
      </c>
      <c r="AJ12" s="7">
        <v>0</v>
      </c>
      <c r="AK12" s="7"/>
      <c r="AL12" s="7"/>
      <c r="AM12" s="7"/>
    </row>
    <row r="13" spans="1:39" ht="18" customHeight="1" x14ac:dyDescent="0.3">
      <c r="A13" s="7" t="str">
        <f>'02_Employee_Master'!A11</f>
        <v>PL-006</v>
      </c>
      <c r="B13" s="4" t="str">
        <f>'02_Employee_Master'!B11</f>
        <v>Arjun Reddy</v>
      </c>
      <c r="C13" s="4" t="str">
        <f>'02_Employee_Master'!D11</f>
        <v>Biochemistry</v>
      </c>
      <c r="D13" s="4" t="str">
        <f>'02_Employee_Master'!C11</f>
        <v>Lab Technologist</v>
      </c>
      <c r="E13" s="13" t="s">
        <v>39</v>
      </c>
      <c r="F13" s="13" t="s">
        <v>39</v>
      </c>
      <c r="G13" s="13" t="s">
        <v>60</v>
      </c>
      <c r="H13" s="13" t="s">
        <v>39</v>
      </c>
      <c r="I13" s="13" t="s">
        <v>53</v>
      </c>
      <c r="J13" s="13" t="s">
        <v>39</v>
      </c>
      <c r="K13" s="13" t="s">
        <v>39</v>
      </c>
      <c r="L13" s="13" t="s">
        <v>39</v>
      </c>
      <c r="M13" s="13" t="s">
        <v>39</v>
      </c>
      <c r="N13" s="13" t="s">
        <v>60</v>
      </c>
      <c r="O13" s="13" t="s">
        <v>39</v>
      </c>
      <c r="P13" s="13" t="s">
        <v>53</v>
      </c>
      <c r="Q13" s="13" t="s">
        <v>39</v>
      </c>
      <c r="R13" s="13" t="s">
        <v>39</v>
      </c>
      <c r="S13" s="13" t="s">
        <v>46</v>
      </c>
      <c r="T13" s="13" t="s">
        <v>39</v>
      </c>
      <c r="U13" s="13" t="s">
        <v>60</v>
      </c>
      <c r="V13" s="13" t="s">
        <v>39</v>
      </c>
      <c r="W13" s="13" t="s">
        <v>53</v>
      </c>
      <c r="X13" s="13" t="s">
        <v>46</v>
      </c>
      <c r="Y13" s="13" t="s">
        <v>39</v>
      </c>
      <c r="Z13" s="13" t="s">
        <v>39</v>
      </c>
      <c r="AA13" s="13" t="s">
        <v>39</v>
      </c>
      <c r="AB13" s="13" t="s">
        <v>60</v>
      </c>
      <c r="AC13" s="13" t="s">
        <v>46</v>
      </c>
      <c r="AD13" s="13" t="s">
        <v>53</v>
      </c>
      <c r="AE13" s="13" t="s">
        <v>39</v>
      </c>
      <c r="AF13" s="13" t="s">
        <v>39</v>
      </c>
      <c r="AG13" s="13" t="s">
        <v>39</v>
      </c>
      <c r="AH13" s="13" t="s">
        <v>46</v>
      </c>
      <c r="AI13" s="7">
        <f t="shared" si="0"/>
        <v>4</v>
      </c>
      <c r="AJ13" s="7">
        <v>0</v>
      </c>
      <c r="AK13" s="7"/>
      <c r="AL13" s="7"/>
      <c r="AM13" s="7"/>
    </row>
    <row r="14" spans="1:39" ht="18" customHeight="1" x14ac:dyDescent="0.3">
      <c r="A14" s="7" t="str">
        <f>'02_Employee_Master'!A12</f>
        <v>PL-007</v>
      </c>
      <c r="B14" s="4" t="str">
        <f>'02_Employee_Master'!B12</f>
        <v>Meera Iyer</v>
      </c>
      <c r="C14" s="4" t="str">
        <f>'02_Employee_Master'!D12</f>
        <v>Microbiology</v>
      </c>
      <c r="D14" s="4" t="str">
        <f>'02_Employee_Master'!C12</f>
        <v>Senior Lab Technologist</v>
      </c>
      <c r="E14" s="13" t="s">
        <v>39</v>
      </c>
      <c r="F14" s="13" t="s">
        <v>39</v>
      </c>
      <c r="G14" s="13" t="s">
        <v>46</v>
      </c>
      <c r="H14" s="13" t="s">
        <v>39</v>
      </c>
      <c r="I14" s="13" t="s">
        <v>60</v>
      </c>
      <c r="J14" s="13" t="s">
        <v>46</v>
      </c>
      <c r="K14" s="13" t="s">
        <v>39</v>
      </c>
      <c r="L14" s="13" t="s">
        <v>39</v>
      </c>
      <c r="M14" s="13" t="s">
        <v>46</v>
      </c>
      <c r="N14" s="13" t="s">
        <v>39</v>
      </c>
      <c r="O14" s="13" t="s">
        <v>39</v>
      </c>
      <c r="P14" s="13" t="s">
        <v>60</v>
      </c>
      <c r="Q14" s="13" t="s">
        <v>39</v>
      </c>
      <c r="R14" s="13" t="s">
        <v>39</v>
      </c>
      <c r="S14" s="13" t="s">
        <v>46</v>
      </c>
      <c r="T14" s="13" t="s">
        <v>39</v>
      </c>
      <c r="U14" s="13" t="s">
        <v>39</v>
      </c>
      <c r="V14" s="13" t="s">
        <v>46</v>
      </c>
      <c r="W14" s="13" t="s">
        <v>60</v>
      </c>
      <c r="X14" s="13" t="s">
        <v>39</v>
      </c>
      <c r="Y14" s="13" t="s">
        <v>46</v>
      </c>
      <c r="Z14" s="13" t="s">
        <v>39</v>
      </c>
      <c r="AA14" s="13" t="s">
        <v>39</v>
      </c>
      <c r="AB14" s="13" t="s">
        <v>46</v>
      </c>
      <c r="AC14" s="13" t="s">
        <v>39</v>
      </c>
      <c r="AD14" s="13" t="s">
        <v>60</v>
      </c>
      <c r="AE14" s="13" t="s">
        <v>46</v>
      </c>
      <c r="AF14" s="13" t="s">
        <v>39</v>
      </c>
      <c r="AG14" s="13" t="s">
        <v>39</v>
      </c>
      <c r="AH14" s="13" t="s">
        <v>46</v>
      </c>
      <c r="AI14" s="7">
        <f t="shared" si="0"/>
        <v>4</v>
      </c>
      <c r="AJ14" s="7">
        <v>0</v>
      </c>
      <c r="AK14" s="7" t="s">
        <v>205</v>
      </c>
      <c r="AL14" s="7"/>
      <c r="AM14" s="7"/>
    </row>
    <row r="15" spans="1:39" ht="18" customHeight="1" x14ac:dyDescent="0.3">
      <c r="A15" s="7" t="str">
        <f>'02_Employee_Master'!A13</f>
        <v>PL-008</v>
      </c>
      <c r="B15" s="4" t="str">
        <f>'02_Employee_Master'!B13</f>
        <v>Karan Malhotra</v>
      </c>
      <c r="C15" s="4" t="str">
        <f>'02_Employee_Master'!D13</f>
        <v>Microbiology</v>
      </c>
      <c r="D15" s="4" t="str">
        <f>'02_Employee_Master'!C13</f>
        <v>Lab Technologist</v>
      </c>
      <c r="E15" s="13" t="s">
        <v>39</v>
      </c>
      <c r="F15" s="13" t="s">
        <v>39</v>
      </c>
      <c r="G15" s="13" t="s">
        <v>53</v>
      </c>
      <c r="H15" s="13" t="s">
        <v>39</v>
      </c>
      <c r="I15" s="13" t="s">
        <v>39</v>
      </c>
      <c r="J15" s="13" t="s">
        <v>39</v>
      </c>
      <c r="K15" s="13" t="s">
        <v>60</v>
      </c>
      <c r="L15" s="13" t="s">
        <v>46</v>
      </c>
      <c r="M15" s="13" t="s">
        <v>39</v>
      </c>
      <c r="N15" s="13" t="s">
        <v>53</v>
      </c>
      <c r="O15" s="13" t="s">
        <v>39</v>
      </c>
      <c r="P15" s="13" t="s">
        <v>39</v>
      </c>
      <c r="Q15" s="13" t="s">
        <v>46</v>
      </c>
      <c r="R15" s="13" t="s">
        <v>60</v>
      </c>
      <c r="S15" s="13" t="s">
        <v>39</v>
      </c>
      <c r="T15" s="13" t="s">
        <v>39</v>
      </c>
      <c r="U15" s="13" t="s">
        <v>53</v>
      </c>
      <c r="V15" s="13" t="s">
        <v>46</v>
      </c>
      <c r="W15" s="13" t="s">
        <v>39</v>
      </c>
      <c r="X15" s="13" t="s">
        <v>39</v>
      </c>
      <c r="Y15" s="13" t="s">
        <v>60</v>
      </c>
      <c r="Z15" s="13" t="s">
        <v>39</v>
      </c>
      <c r="AA15" s="13" t="s">
        <v>46</v>
      </c>
      <c r="AB15" s="13" t="s">
        <v>53</v>
      </c>
      <c r="AC15" s="13" t="s">
        <v>39</v>
      </c>
      <c r="AD15" s="13" t="s">
        <v>39</v>
      </c>
      <c r="AE15" s="13" t="s">
        <v>39</v>
      </c>
      <c r="AF15" s="13" t="s">
        <v>60</v>
      </c>
      <c r="AG15" s="13" t="s">
        <v>39</v>
      </c>
      <c r="AH15" s="13" t="s">
        <v>39</v>
      </c>
      <c r="AI15" s="7">
        <f t="shared" si="0"/>
        <v>4</v>
      </c>
      <c r="AJ15" s="7">
        <v>0</v>
      </c>
      <c r="AK15" s="7"/>
      <c r="AL15" s="7"/>
      <c r="AM15" s="7"/>
    </row>
    <row r="16" spans="1:39" ht="18" customHeight="1" x14ac:dyDescent="0.3">
      <c r="A16" s="7" t="str">
        <f>'02_Employee_Master'!A14</f>
        <v>PL-009</v>
      </c>
      <c r="B16" s="4" t="str">
        <f>'02_Employee_Master'!B14</f>
        <v>Pooja Sharma</v>
      </c>
      <c r="C16" s="4" t="str">
        <f>'02_Employee_Master'!D14</f>
        <v>Histopathology</v>
      </c>
      <c r="D16" s="4" t="str">
        <f>'02_Employee_Master'!C14</f>
        <v>Lab Assistant</v>
      </c>
      <c r="E16" s="13" t="s">
        <v>39</v>
      </c>
      <c r="F16" s="13" t="s">
        <v>60</v>
      </c>
      <c r="G16" s="13" t="s">
        <v>39</v>
      </c>
      <c r="H16" s="13" t="s">
        <v>39</v>
      </c>
      <c r="I16" s="13" t="s">
        <v>39</v>
      </c>
      <c r="J16" s="13" t="s">
        <v>39</v>
      </c>
      <c r="K16" s="13" t="s">
        <v>39</v>
      </c>
      <c r="L16" s="13" t="s">
        <v>39</v>
      </c>
      <c r="M16" s="13" t="s">
        <v>60</v>
      </c>
      <c r="N16" s="13" t="s">
        <v>39</v>
      </c>
      <c r="O16" s="13" t="s">
        <v>39</v>
      </c>
      <c r="P16" s="13" t="s">
        <v>39</v>
      </c>
      <c r="Q16" s="13" t="s">
        <v>39</v>
      </c>
      <c r="R16" s="13" t="s">
        <v>39</v>
      </c>
      <c r="S16" s="13" t="s">
        <v>39</v>
      </c>
      <c r="T16" s="13" t="s">
        <v>60</v>
      </c>
      <c r="U16" s="13" t="s">
        <v>39</v>
      </c>
      <c r="V16" s="13" t="s">
        <v>39</v>
      </c>
      <c r="W16" s="13" t="s">
        <v>39</v>
      </c>
      <c r="X16" s="13" t="s">
        <v>39</v>
      </c>
      <c r="Y16" s="13" t="s">
        <v>39</v>
      </c>
      <c r="Z16" s="13" t="s">
        <v>39</v>
      </c>
      <c r="AA16" s="13" t="s">
        <v>60</v>
      </c>
      <c r="AB16" s="13" t="s">
        <v>39</v>
      </c>
      <c r="AC16" s="13" t="s">
        <v>39</v>
      </c>
      <c r="AD16" s="13" t="s">
        <v>39</v>
      </c>
      <c r="AE16" s="13" t="s">
        <v>39</v>
      </c>
      <c r="AF16" s="13" t="s">
        <v>39</v>
      </c>
      <c r="AG16" s="13" t="s">
        <v>39</v>
      </c>
      <c r="AH16" s="13" t="s">
        <v>60</v>
      </c>
      <c r="AI16" s="7">
        <f t="shared" si="0"/>
        <v>5</v>
      </c>
      <c r="AJ16" s="7">
        <v>0</v>
      </c>
      <c r="AK16" s="7"/>
      <c r="AL16" s="7"/>
      <c r="AM16" s="7"/>
    </row>
    <row r="17" spans="1:39" ht="18" customHeight="1" x14ac:dyDescent="0.3">
      <c r="A17" s="7" t="str">
        <f>'02_Employee_Master'!A15</f>
        <v>PL-010</v>
      </c>
      <c r="B17" s="4" t="str">
        <f>'02_Employee_Master'!B15</f>
        <v>Mohammed Irfan</v>
      </c>
      <c r="C17" s="4" t="str">
        <f>'02_Employee_Master'!D15</f>
        <v>Phlebotomy</v>
      </c>
      <c r="D17" s="4" t="str">
        <f>'02_Employee_Master'!C15</f>
        <v>Phlebotomist</v>
      </c>
      <c r="E17" s="13" t="s">
        <v>39</v>
      </c>
      <c r="F17" s="13" t="s">
        <v>39</v>
      </c>
      <c r="G17" s="13" t="s">
        <v>46</v>
      </c>
      <c r="H17" s="13" t="s">
        <v>60</v>
      </c>
      <c r="I17" s="13" t="s">
        <v>39</v>
      </c>
      <c r="J17" s="13" t="s">
        <v>46</v>
      </c>
      <c r="K17" s="13" t="s">
        <v>39</v>
      </c>
      <c r="L17" s="13" t="s">
        <v>39</v>
      </c>
      <c r="M17" s="13" t="s">
        <v>46</v>
      </c>
      <c r="N17" s="13" t="s">
        <v>39</v>
      </c>
      <c r="O17" s="13" t="s">
        <v>60</v>
      </c>
      <c r="P17" s="13" t="s">
        <v>46</v>
      </c>
      <c r="Q17" s="13" t="s">
        <v>39</v>
      </c>
      <c r="R17" s="13" t="s">
        <v>39</v>
      </c>
      <c r="S17" s="13" t="s">
        <v>46</v>
      </c>
      <c r="T17" s="13" t="s">
        <v>39</v>
      </c>
      <c r="U17" s="13" t="s">
        <v>39</v>
      </c>
      <c r="V17" s="13" t="s">
        <v>60</v>
      </c>
      <c r="W17" s="13" t="s">
        <v>39</v>
      </c>
      <c r="X17" s="13" t="s">
        <v>39</v>
      </c>
      <c r="Y17" s="13" t="s">
        <v>46</v>
      </c>
      <c r="Z17" s="13" t="s">
        <v>39</v>
      </c>
      <c r="AA17" s="13" t="s">
        <v>39</v>
      </c>
      <c r="AB17" s="13" t="s">
        <v>46</v>
      </c>
      <c r="AC17" s="13" t="s">
        <v>60</v>
      </c>
      <c r="AD17" s="13" t="s">
        <v>39</v>
      </c>
      <c r="AE17" s="13" t="s">
        <v>46</v>
      </c>
      <c r="AF17" s="13" t="s">
        <v>39</v>
      </c>
      <c r="AG17" s="13" t="s">
        <v>39</v>
      </c>
      <c r="AH17" s="13" t="s">
        <v>46</v>
      </c>
      <c r="AI17" s="7">
        <f t="shared" si="0"/>
        <v>4</v>
      </c>
      <c r="AJ17" s="7">
        <v>0</v>
      </c>
      <c r="AK17" s="7"/>
      <c r="AL17" s="7"/>
      <c r="AM17" s="7"/>
    </row>
    <row r="18" spans="1:39" ht="18" customHeight="1" x14ac:dyDescent="0.3">
      <c r="A18" s="7" t="str">
        <f>'02_Employee_Master'!A16</f>
        <v>PL-011</v>
      </c>
      <c r="B18" s="4" t="str">
        <f>'02_Employee_Master'!B16</f>
        <v>Lakshmi Devi</v>
      </c>
      <c r="C18" s="4" t="str">
        <f>'02_Employee_Master'!D16</f>
        <v>Phlebotomy</v>
      </c>
      <c r="D18" s="4" t="str">
        <f>'02_Employee_Master'!C16</f>
        <v>Phlebotomist</v>
      </c>
      <c r="E18" s="13" t="s">
        <v>39</v>
      </c>
      <c r="F18" s="13" t="s">
        <v>39</v>
      </c>
      <c r="G18" s="13" t="s">
        <v>39</v>
      </c>
      <c r="H18" s="13" t="s">
        <v>39</v>
      </c>
      <c r="I18" s="13" t="s">
        <v>39</v>
      </c>
      <c r="J18" s="13" t="s">
        <v>60</v>
      </c>
      <c r="K18" s="13" t="s">
        <v>39</v>
      </c>
      <c r="L18" s="13" t="s">
        <v>39</v>
      </c>
      <c r="M18" s="13" t="s">
        <v>39</v>
      </c>
      <c r="N18" s="13" t="s">
        <v>39</v>
      </c>
      <c r="O18" s="13" t="s">
        <v>39</v>
      </c>
      <c r="P18" s="13" t="s">
        <v>39</v>
      </c>
      <c r="Q18" s="13" t="s">
        <v>60</v>
      </c>
      <c r="R18" s="13" t="s">
        <v>39</v>
      </c>
      <c r="S18" s="13" t="s">
        <v>39</v>
      </c>
      <c r="T18" s="13" t="s">
        <v>39</v>
      </c>
      <c r="U18" s="13" t="s">
        <v>39</v>
      </c>
      <c r="V18" s="13" t="s">
        <v>39</v>
      </c>
      <c r="W18" s="13" t="s">
        <v>39</v>
      </c>
      <c r="X18" s="13" t="s">
        <v>60</v>
      </c>
      <c r="Y18" s="13" t="s">
        <v>39</v>
      </c>
      <c r="Z18" s="13" t="s">
        <v>39</v>
      </c>
      <c r="AA18" s="13" t="s">
        <v>39</v>
      </c>
      <c r="AB18" s="13" t="s">
        <v>39</v>
      </c>
      <c r="AC18" s="13" t="s">
        <v>39</v>
      </c>
      <c r="AD18" s="13" t="s">
        <v>39</v>
      </c>
      <c r="AE18" s="13" t="s">
        <v>60</v>
      </c>
      <c r="AF18" s="13" t="s">
        <v>39</v>
      </c>
      <c r="AG18" s="13" t="s">
        <v>39</v>
      </c>
      <c r="AH18" s="13" t="s">
        <v>39</v>
      </c>
      <c r="AI18" s="7">
        <f t="shared" si="0"/>
        <v>4</v>
      </c>
      <c r="AJ18" s="7">
        <v>0</v>
      </c>
      <c r="AK18" s="7"/>
      <c r="AL18" s="7"/>
      <c r="AM18" s="7"/>
    </row>
    <row r="19" spans="1:39" ht="18" customHeight="1" x14ac:dyDescent="0.3">
      <c r="A19" s="7" t="str">
        <f>'02_Employee_Master'!A17</f>
        <v>PL-012</v>
      </c>
      <c r="B19" s="4" t="str">
        <f>'02_Employee_Master'!B17</f>
        <v>Suresh Kumar</v>
      </c>
      <c r="C19" s="4" t="str">
        <f>'02_Employee_Master'!D17</f>
        <v>Sample Receiving</v>
      </c>
      <c r="D19" s="4" t="str">
        <f>'02_Employee_Master'!C17</f>
        <v>Lab Assistant</v>
      </c>
      <c r="E19" s="13" t="s">
        <v>60</v>
      </c>
      <c r="F19" s="13" t="s">
        <v>39</v>
      </c>
      <c r="G19" s="13" t="s">
        <v>39</v>
      </c>
      <c r="H19" s="13" t="s">
        <v>46</v>
      </c>
      <c r="I19" s="13" t="s">
        <v>39</v>
      </c>
      <c r="J19" s="13" t="s">
        <v>53</v>
      </c>
      <c r="K19" s="13" t="s">
        <v>39</v>
      </c>
      <c r="L19" s="13" t="s">
        <v>60</v>
      </c>
      <c r="M19" s="13" t="s">
        <v>46</v>
      </c>
      <c r="N19" s="13" t="s">
        <v>39</v>
      </c>
      <c r="O19" s="13" t="s">
        <v>39</v>
      </c>
      <c r="P19" s="13" t="s">
        <v>39</v>
      </c>
      <c r="Q19" s="13" t="s">
        <v>53</v>
      </c>
      <c r="R19" s="13" t="s">
        <v>46</v>
      </c>
      <c r="S19" s="13" t="s">
        <v>60</v>
      </c>
      <c r="T19" s="13" t="s">
        <v>39</v>
      </c>
      <c r="U19" s="13" t="s">
        <v>39</v>
      </c>
      <c r="V19" s="13" t="s">
        <v>39</v>
      </c>
      <c r="W19" s="13" t="s">
        <v>46</v>
      </c>
      <c r="X19" s="13" t="s">
        <v>53</v>
      </c>
      <c r="Y19" s="13" t="s">
        <v>39</v>
      </c>
      <c r="Z19" s="13" t="s">
        <v>60</v>
      </c>
      <c r="AA19" s="13" t="s">
        <v>39</v>
      </c>
      <c r="AB19" s="13" t="s">
        <v>46</v>
      </c>
      <c r="AC19" s="13" t="s">
        <v>39</v>
      </c>
      <c r="AD19" s="13" t="s">
        <v>39</v>
      </c>
      <c r="AE19" s="13" t="s">
        <v>53</v>
      </c>
      <c r="AF19" s="13" t="s">
        <v>39</v>
      </c>
      <c r="AG19" s="13" t="s">
        <v>60</v>
      </c>
      <c r="AH19" s="13" t="s">
        <v>39</v>
      </c>
      <c r="AI19" s="7">
        <f t="shared" si="0"/>
        <v>5</v>
      </c>
      <c r="AJ19" s="7">
        <v>0</v>
      </c>
      <c r="AK19" s="7"/>
      <c r="AL19" s="7"/>
      <c r="AM19" s="7"/>
    </row>
    <row r="20" spans="1:39" ht="18" customHeight="1" x14ac:dyDescent="0.3">
      <c r="A20" s="7" t="str">
        <f>'02_Employee_Master'!A18</f>
        <v>PL-013</v>
      </c>
      <c r="B20" s="4" t="str">
        <f>'02_Employee_Master'!B18</f>
        <v>Nisha Gupta</v>
      </c>
      <c r="C20" s="4" t="str">
        <f>'02_Employee_Master'!D18</f>
        <v>Quality Assurance</v>
      </c>
      <c r="D20" s="4" t="str">
        <f>'02_Employee_Master'!C18</f>
        <v>QA Officer</v>
      </c>
      <c r="E20" s="13" t="s">
        <v>39</v>
      </c>
      <c r="F20" s="13" t="s">
        <v>39</v>
      </c>
      <c r="G20" s="13" t="s">
        <v>60</v>
      </c>
      <c r="H20" s="13" t="s">
        <v>39</v>
      </c>
      <c r="I20" s="13" t="s">
        <v>39</v>
      </c>
      <c r="J20" s="13" t="s">
        <v>39</v>
      </c>
      <c r="K20" s="13" t="s">
        <v>39</v>
      </c>
      <c r="L20" s="13" t="s">
        <v>39</v>
      </c>
      <c r="M20" s="13" t="s">
        <v>39</v>
      </c>
      <c r="N20" s="13" t="s">
        <v>60</v>
      </c>
      <c r="O20" s="13" t="s">
        <v>39</v>
      </c>
      <c r="P20" s="13" t="s">
        <v>39</v>
      </c>
      <c r="Q20" s="13" t="s">
        <v>39</v>
      </c>
      <c r="R20" s="13" t="s">
        <v>39</v>
      </c>
      <c r="S20" s="13" t="s">
        <v>39</v>
      </c>
      <c r="T20" s="13" t="s">
        <v>39</v>
      </c>
      <c r="U20" s="13" t="s">
        <v>60</v>
      </c>
      <c r="V20" s="13" t="s">
        <v>39</v>
      </c>
      <c r="W20" s="13" t="s">
        <v>39</v>
      </c>
      <c r="X20" s="13" t="s">
        <v>39</v>
      </c>
      <c r="Y20" s="13" t="s">
        <v>39</v>
      </c>
      <c r="Z20" s="13" t="s">
        <v>39</v>
      </c>
      <c r="AA20" s="13" t="s">
        <v>39</v>
      </c>
      <c r="AB20" s="13" t="s">
        <v>60</v>
      </c>
      <c r="AC20" s="13" t="s">
        <v>39</v>
      </c>
      <c r="AD20" s="13" t="s">
        <v>39</v>
      </c>
      <c r="AE20" s="13" t="s">
        <v>39</v>
      </c>
      <c r="AF20" s="13" t="s">
        <v>39</v>
      </c>
      <c r="AG20" s="13" t="s">
        <v>39</v>
      </c>
      <c r="AH20" s="13" t="s">
        <v>39</v>
      </c>
      <c r="AI20" s="7">
        <f t="shared" si="0"/>
        <v>4</v>
      </c>
      <c r="AJ20" s="7">
        <v>0</v>
      </c>
      <c r="AK20" s="7" t="s">
        <v>235</v>
      </c>
      <c r="AL20" s="7"/>
      <c r="AM20" s="7"/>
    </row>
    <row r="21" spans="1:39" ht="18" customHeight="1" x14ac:dyDescent="0.3">
      <c r="A21" s="7" t="str">
        <f>'02_Employee_Master'!A19</f>
        <v>PL-014</v>
      </c>
      <c r="B21" s="4" t="str">
        <f>'02_Employee_Master'!B19</f>
        <v>Deepak Joshi</v>
      </c>
      <c r="C21" s="4" t="str">
        <f>'02_Employee_Master'!D19</f>
        <v>Hematology</v>
      </c>
      <c r="D21" s="4" t="str">
        <f>'02_Employee_Master'!C19</f>
        <v>Lab Technologist</v>
      </c>
      <c r="E21" s="13" t="s">
        <v>39</v>
      </c>
      <c r="F21" s="13" t="s">
        <v>46</v>
      </c>
      <c r="G21" s="13" t="s">
        <v>39</v>
      </c>
      <c r="H21" s="13" t="s">
        <v>39</v>
      </c>
      <c r="I21" s="13" t="s">
        <v>60</v>
      </c>
      <c r="J21" s="13" t="s">
        <v>39</v>
      </c>
      <c r="K21" s="13" t="s">
        <v>39</v>
      </c>
      <c r="L21" s="13" t="s">
        <v>46</v>
      </c>
      <c r="M21" s="13" t="s">
        <v>39</v>
      </c>
      <c r="N21" s="13" t="s">
        <v>39</v>
      </c>
      <c r="O21" s="13" t="s">
        <v>46</v>
      </c>
      <c r="P21" s="13" t="s">
        <v>60</v>
      </c>
      <c r="Q21" s="13" t="s">
        <v>39</v>
      </c>
      <c r="R21" s="13" t="s">
        <v>46</v>
      </c>
      <c r="S21" s="13" t="s">
        <v>39</v>
      </c>
      <c r="T21" s="13" t="s">
        <v>39</v>
      </c>
      <c r="U21" s="13" t="s">
        <v>46</v>
      </c>
      <c r="V21" s="13" t="s">
        <v>39</v>
      </c>
      <c r="W21" s="13" t="s">
        <v>60</v>
      </c>
      <c r="X21" s="13" t="s">
        <v>46</v>
      </c>
      <c r="Y21" s="13" t="s">
        <v>39</v>
      </c>
      <c r="Z21" s="13" t="s">
        <v>39</v>
      </c>
      <c r="AA21" s="13" t="s">
        <v>46</v>
      </c>
      <c r="AB21" s="13" t="s">
        <v>39</v>
      </c>
      <c r="AC21" s="13" t="s">
        <v>39</v>
      </c>
      <c r="AD21" s="13" t="s">
        <v>60</v>
      </c>
      <c r="AE21" s="13" t="s">
        <v>39</v>
      </c>
      <c r="AF21" s="13" t="s">
        <v>39</v>
      </c>
      <c r="AG21" s="13" t="s">
        <v>46</v>
      </c>
      <c r="AH21" s="13" t="s">
        <v>39</v>
      </c>
      <c r="AI21" s="7">
        <f t="shared" si="0"/>
        <v>4</v>
      </c>
      <c r="AJ21" s="7">
        <v>0</v>
      </c>
      <c r="AK21" s="7"/>
      <c r="AL21" s="7"/>
      <c r="AM21" s="7"/>
    </row>
    <row r="22" spans="1:39" ht="18" customHeight="1" x14ac:dyDescent="0.3">
      <c r="A22" s="7" t="str">
        <f>'02_Employee_Master'!A20</f>
        <v>PL-015</v>
      </c>
      <c r="B22" s="4" t="str">
        <f>'02_Employee_Master'!B20</f>
        <v>Anjali Verma</v>
      </c>
      <c r="C22" s="4" t="str">
        <f>'02_Employee_Master'!D20</f>
        <v>Administration</v>
      </c>
      <c r="D22" s="4" t="str">
        <f>'02_Employee_Master'!C20</f>
        <v>Receptionist</v>
      </c>
      <c r="E22" s="13" t="s">
        <v>39</v>
      </c>
      <c r="F22" s="13" t="s">
        <v>39</v>
      </c>
      <c r="G22" s="13" t="s">
        <v>39</v>
      </c>
      <c r="H22" s="13" t="s">
        <v>39</v>
      </c>
      <c r="I22" s="13" t="s">
        <v>39</v>
      </c>
      <c r="J22" s="13" t="s">
        <v>39</v>
      </c>
      <c r="K22" s="13" t="s">
        <v>60</v>
      </c>
      <c r="L22" s="13" t="s">
        <v>39</v>
      </c>
      <c r="M22" s="13" t="s">
        <v>39</v>
      </c>
      <c r="N22" s="13" t="s">
        <v>39</v>
      </c>
      <c r="O22" s="13" t="s">
        <v>39</v>
      </c>
      <c r="P22" s="13" t="s">
        <v>39</v>
      </c>
      <c r="Q22" s="13" t="s">
        <v>39</v>
      </c>
      <c r="R22" s="13" t="s">
        <v>60</v>
      </c>
      <c r="S22" s="13" t="s">
        <v>39</v>
      </c>
      <c r="T22" s="13" t="s">
        <v>39</v>
      </c>
      <c r="U22" s="13" t="s">
        <v>39</v>
      </c>
      <c r="V22" s="13" t="s">
        <v>39</v>
      </c>
      <c r="W22" s="13" t="s">
        <v>39</v>
      </c>
      <c r="X22" s="13" t="s">
        <v>39</v>
      </c>
      <c r="Y22" s="13" t="s">
        <v>60</v>
      </c>
      <c r="Z22" s="13" t="s">
        <v>39</v>
      </c>
      <c r="AA22" s="13" t="s">
        <v>39</v>
      </c>
      <c r="AB22" s="13" t="s">
        <v>39</v>
      </c>
      <c r="AC22" s="13" t="s">
        <v>39</v>
      </c>
      <c r="AD22" s="13" t="s">
        <v>39</v>
      </c>
      <c r="AE22" s="13" t="s">
        <v>39</v>
      </c>
      <c r="AF22" s="13" t="s">
        <v>60</v>
      </c>
      <c r="AG22" s="13" t="s">
        <v>39</v>
      </c>
      <c r="AH22" s="13" t="s">
        <v>39</v>
      </c>
      <c r="AI22" s="7">
        <f t="shared" si="0"/>
        <v>4</v>
      </c>
      <c r="AJ22" s="7">
        <v>0</v>
      </c>
      <c r="AK22" s="7"/>
      <c r="AL22" s="7"/>
      <c r="AM22" s="7"/>
    </row>
    <row r="23" spans="1:39" ht="18" customHeight="1" x14ac:dyDescent="0.3">
      <c r="A23" s="7" t="str">
        <f>'02_Employee_Master'!A21</f>
        <v>PL-016</v>
      </c>
      <c r="B23" s="4" t="str">
        <f>'02_Employee_Master'!B21</f>
        <v>Ravi Teja</v>
      </c>
      <c r="C23" s="4" t="str">
        <f>'02_Employee_Master'!D21</f>
        <v>Biochemistry</v>
      </c>
      <c r="D23" s="4" t="str">
        <f>'02_Employee_Master'!C21</f>
        <v>Lab Technologist</v>
      </c>
      <c r="E23" s="13" t="s">
        <v>39</v>
      </c>
      <c r="F23" s="13" t="s">
        <v>60</v>
      </c>
      <c r="G23" s="13" t="s">
        <v>39</v>
      </c>
      <c r="H23" s="13" t="s">
        <v>39</v>
      </c>
      <c r="I23" s="13" t="s">
        <v>46</v>
      </c>
      <c r="J23" s="13" t="s">
        <v>39</v>
      </c>
      <c r="K23" s="13" t="s">
        <v>39</v>
      </c>
      <c r="L23" s="13" t="s">
        <v>39</v>
      </c>
      <c r="M23" s="13" t="s">
        <v>60</v>
      </c>
      <c r="N23" s="13" t="s">
        <v>46</v>
      </c>
      <c r="O23" s="13" t="s">
        <v>39</v>
      </c>
      <c r="P23" s="13" t="s">
        <v>39</v>
      </c>
      <c r="Q23" s="13" t="s">
        <v>39</v>
      </c>
      <c r="R23" s="13" t="s">
        <v>39</v>
      </c>
      <c r="S23" s="13" t="s">
        <v>46</v>
      </c>
      <c r="T23" s="13" t="s">
        <v>60</v>
      </c>
      <c r="U23" s="13" t="s">
        <v>39</v>
      </c>
      <c r="V23" s="13" t="s">
        <v>39</v>
      </c>
      <c r="W23" s="13" t="s">
        <v>39</v>
      </c>
      <c r="X23" s="13" t="s">
        <v>46</v>
      </c>
      <c r="Y23" s="13" t="s">
        <v>39</v>
      </c>
      <c r="Z23" s="13" t="s">
        <v>39</v>
      </c>
      <c r="AA23" s="13" t="s">
        <v>60</v>
      </c>
      <c r="AB23" s="13" t="s">
        <v>39</v>
      </c>
      <c r="AC23" s="13" t="s">
        <v>46</v>
      </c>
      <c r="AD23" s="13" t="s">
        <v>39</v>
      </c>
      <c r="AE23" s="13" t="s">
        <v>39</v>
      </c>
      <c r="AF23" s="13" t="s">
        <v>39</v>
      </c>
      <c r="AG23" s="13" t="s">
        <v>39</v>
      </c>
      <c r="AH23" s="13" t="s">
        <v>60</v>
      </c>
      <c r="AI23" s="7">
        <f t="shared" si="0"/>
        <v>5</v>
      </c>
      <c r="AJ23" s="7">
        <v>0</v>
      </c>
      <c r="AK23" s="7"/>
      <c r="AL23" s="7"/>
      <c r="AM23" s="7"/>
    </row>
    <row r="24" spans="1:39" ht="18" customHeight="1" x14ac:dyDescent="0.3">
      <c r="A24" s="7" t="str">
        <f>'02_Employee_Master'!A22</f>
        <v>PL-017</v>
      </c>
      <c r="B24" s="4" t="str">
        <f>'02_Employee_Master'!B22</f>
        <v>Geeta Rao</v>
      </c>
      <c r="C24" s="4" t="str">
        <f>'02_Employee_Master'!D22</f>
        <v>Microbiology</v>
      </c>
      <c r="D24" s="4" t="str">
        <f>'02_Employee_Master'!C22</f>
        <v>Lab Assistant</v>
      </c>
      <c r="E24" s="13" t="s">
        <v>39</v>
      </c>
      <c r="F24" s="13" t="s">
        <v>46</v>
      </c>
      <c r="G24" s="13" t="s">
        <v>39</v>
      </c>
      <c r="H24" s="13" t="s">
        <v>60</v>
      </c>
      <c r="I24" s="13" t="s">
        <v>46</v>
      </c>
      <c r="J24" s="13" t="s">
        <v>39</v>
      </c>
      <c r="K24" s="13" t="s">
        <v>39</v>
      </c>
      <c r="L24" s="13" t="s">
        <v>46</v>
      </c>
      <c r="M24" s="13" t="s">
        <v>39</v>
      </c>
      <c r="N24" s="13" t="s">
        <v>39</v>
      </c>
      <c r="O24" s="13" t="s">
        <v>60</v>
      </c>
      <c r="P24" s="13" t="s">
        <v>39</v>
      </c>
      <c r="Q24" s="13" t="s">
        <v>39</v>
      </c>
      <c r="R24" s="13" t="s">
        <v>46</v>
      </c>
      <c r="S24" s="13" t="s">
        <v>39</v>
      </c>
      <c r="T24" s="13" t="s">
        <v>39</v>
      </c>
      <c r="U24" s="13" t="s">
        <v>46</v>
      </c>
      <c r="V24" s="13" t="s">
        <v>60</v>
      </c>
      <c r="W24" s="13" t="s">
        <v>39</v>
      </c>
      <c r="X24" s="13" t="s">
        <v>46</v>
      </c>
      <c r="Y24" s="13" t="s">
        <v>39</v>
      </c>
      <c r="Z24" s="13" t="s">
        <v>39</v>
      </c>
      <c r="AA24" s="13" t="s">
        <v>46</v>
      </c>
      <c r="AB24" s="13" t="s">
        <v>39</v>
      </c>
      <c r="AC24" s="13" t="s">
        <v>60</v>
      </c>
      <c r="AD24" s="13" t="s">
        <v>46</v>
      </c>
      <c r="AE24" s="13" t="s">
        <v>39</v>
      </c>
      <c r="AF24" s="13" t="s">
        <v>39</v>
      </c>
      <c r="AG24" s="13" t="s">
        <v>46</v>
      </c>
      <c r="AH24" s="13" t="s">
        <v>39</v>
      </c>
      <c r="AI24" s="7">
        <f t="shared" si="0"/>
        <v>4</v>
      </c>
      <c r="AJ24" s="7">
        <v>0</v>
      </c>
      <c r="AK24" s="7"/>
      <c r="AL24" s="7"/>
      <c r="AM24" s="7"/>
    </row>
    <row r="25" spans="1:39" ht="18" customHeight="1" x14ac:dyDescent="0.3">
      <c r="A25" s="7" t="str">
        <f>'02_Employee_Master'!A23</f>
        <v>PL-018</v>
      </c>
      <c r="B25" s="4" t="str">
        <f>'02_Employee_Master'!B23</f>
        <v>Imran Sheikh</v>
      </c>
      <c r="C25" s="4" t="str">
        <f>'02_Employee_Master'!D23</f>
        <v>Phlebotomy</v>
      </c>
      <c r="D25" s="4" t="str">
        <f>'02_Employee_Master'!C23</f>
        <v>Phlebotomist</v>
      </c>
      <c r="E25" s="13" t="s">
        <v>39</v>
      </c>
      <c r="F25" s="13" t="s">
        <v>39</v>
      </c>
      <c r="G25" s="13" t="s">
        <v>39</v>
      </c>
      <c r="H25" s="13" t="s">
        <v>39</v>
      </c>
      <c r="I25" s="13" t="s">
        <v>39</v>
      </c>
      <c r="J25" s="13" t="s">
        <v>60</v>
      </c>
      <c r="K25" s="13" t="s">
        <v>39</v>
      </c>
      <c r="L25" s="13" t="s">
        <v>39</v>
      </c>
      <c r="M25" s="13" t="s">
        <v>39</v>
      </c>
      <c r="N25" s="13" t="s">
        <v>39</v>
      </c>
      <c r="O25" s="13" t="s">
        <v>39</v>
      </c>
      <c r="P25" s="13" t="s">
        <v>39</v>
      </c>
      <c r="Q25" s="13" t="s">
        <v>60</v>
      </c>
      <c r="R25" s="13" t="s">
        <v>39</v>
      </c>
      <c r="S25" s="13" t="s">
        <v>39</v>
      </c>
      <c r="T25" s="13" t="s">
        <v>39</v>
      </c>
      <c r="U25" s="13" t="s">
        <v>39</v>
      </c>
      <c r="V25" s="13" t="s">
        <v>39</v>
      </c>
      <c r="W25" s="13" t="s">
        <v>39</v>
      </c>
      <c r="X25" s="13" t="s">
        <v>60</v>
      </c>
      <c r="Y25" s="13" t="s">
        <v>39</v>
      </c>
      <c r="Z25" s="13" t="s">
        <v>39</v>
      </c>
      <c r="AA25" s="13" t="s">
        <v>39</v>
      </c>
      <c r="AB25" s="13" t="s">
        <v>39</v>
      </c>
      <c r="AC25" s="13" t="s">
        <v>39</v>
      </c>
      <c r="AD25" s="13" t="s">
        <v>39</v>
      </c>
      <c r="AE25" s="13" t="s">
        <v>60</v>
      </c>
      <c r="AF25" s="13" t="s">
        <v>39</v>
      </c>
      <c r="AG25" s="13" t="s">
        <v>39</v>
      </c>
      <c r="AH25" s="13" t="s">
        <v>39</v>
      </c>
      <c r="AI25" s="7">
        <f t="shared" si="0"/>
        <v>4</v>
      </c>
      <c r="AJ25" s="7">
        <v>0</v>
      </c>
      <c r="AK25" s="7"/>
      <c r="AL25" s="7"/>
      <c r="AM25" s="7"/>
    </row>
    <row r="26" spans="1:39" ht="18" customHeight="1" x14ac:dyDescent="0.3">
      <c r="A26" s="7" t="str">
        <f>'02_Employee_Master'!A24</f>
        <v>PL-019</v>
      </c>
      <c r="B26" s="4" t="str">
        <f>'02_Employee_Master'!B24</f>
        <v>Kavya Menon</v>
      </c>
      <c r="C26" s="4" t="str">
        <f>'02_Employee_Master'!D24</f>
        <v>Histopathology</v>
      </c>
      <c r="D26" s="4" t="str">
        <f>'02_Employee_Master'!C24</f>
        <v>Lab Technologist</v>
      </c>
      <c r="E26" s="13" t="s">
        <v>60</v>
      </c>
      <c r="F26" s="13" t="s">
        <v>39</v>
      </c>
      <c r="G26" s="13" t="s">
        <v>39</v>
      </c>
      <c r="H26" s="13" t="s">
        <v>39</v>
      </c>
      <c r="I26" s="13" t="s">
        <v>39</v>
      </c>
      <c r="J26" s="13" t="s">
        <v>39</v>
      </c>
      <c r="K26" s="13" t="s">
        <v>39</v>
      </c>
      <c r="L26" s="13" t="s">
        <v>60</v>
      </c>
      <c r="M26" s="13" t="s">
        <v>39</v>
      </c>
      <c r="N26" s="13" t="s">
        <v>39</v>
      </c>
      <c r="O26" s="13" t="s">
        <v>39</v>
      </c>
      <c r="P26" s="13" t="s">
        <v>39</v>
      </c>
      <c r="Q26" s="13" t="s">
        <v>39</v>
      </c>
      <c r="R26" s="13" t="s">
        <v>39</v>
      </c>
      <c r="S26" s="13" t="s">
        <v>60</v>
      </c>
      <c r="T26" s="13" t="s">
        <v>39</v>
      </c>
      <c r="U26" s="13" t="s">
        <v>39</v>
      </c>
      <c r="V26" s="13" t="s">
        <v>39</v>
      </c>
      <c r="W26" s="13" t="s">
        <v>39</v>
      </c>
      <c r="X26" s="13" t="s">
        <v>39</v>
      </c>
      <c r="Y26" s="13" t="s">
        <v>39</v>
      </c>
      <c r="Z26" s="13" t="s">
        <v>60</v>
      </c>
      <c r="AA26" s="13" t="s">
        <v>39</v>
      </c>
      <c r="AB26" s="13" t="s">
        <v>39</v>
      </c>
      <c r="AC26" s="13" t="s">
        <v>39</v>
      </c>
      <c r="AD26" s="13" t="s">
        <v>39</v>
      </c>
      <c r="AE26" s="13" t="s">
        <v>39</v>
      </c>
      <c r="AF26" s="13" t="s">
        <v>39</v>
      </c>
      <c r="AG26" s="13" t="s">
        <v>60</v>
      </c>
      <c r="AH26" s="13" t="s">
        <v>39</v>
      </c>
      <c r="AI26" s="7">
        <f t="shared" si="0"/>
        <v>5</v>
      </c>
      <c r="AJ26" s="7">
        <v>0</v>
      </c>
      <c r="AK26" s="7" t="s">
        <v>265</v>
      </c>
      <c r="AL26" s="7"/>
      <c r="AM26" s="7"/>
    </row>
    <row r="27" spans="1:39" ht="18" customHeight="1" x14ac:dyDescent="0.3">
      <c r="A27" s="7" t="str">
        <f>'02_Employee_Master'!A25</f>
        <v>PL-020</v>
      </c>
      <c r="B27" s="4" t="str">
        <f>'02_Employee_Master'!B25</f>
        <v>Thomas Mathew</v>
      </c>
      <c r="C27" s="4" t="str">
        <f>'02_Employee_Master'!D25</f>
        <v>Sample Receiving</v>
      </c>
      <c r="D27" s="4" t="str">
        <f>'02_Employee_Master'!C25</f>
        <v>Senior Lab Technologist</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7">
        <f t="shared" si="0"/>
        <v>0</v>
      </c>
      <c r="AJ27" s="7"/>
      <c r="AK27" s="7"/>
      <c r="AL27" s="7"/>
      <c r="AM27" s="7"/>
    </row>
    <row r="28" spans="1:39" x14ac:dyDescent="0.3">
      <c r="A28" s="22" t="s">
        <v>285</v>
      </c>
      <c r="B28" s="17"/>
      <c r="C28" s="17"/>
      <c r="D28" s="17"/>
      <c r="E28" s="12">
        <f t="shared" ref="E28:AH28" si="1">COUNTIF(E8:E27,"M")</f>
        <v>15</v>
      </c>
      <c r="F28" s="12">
        <f t="shared" si="1"/>
        <v>12</v>
      </c>
      <c r="G28" s="12">
        <f t="shared" si="1"/>
        <v>13</v>
      </c>
      <c r="H28" s="12">
        <f t="shared" si="1"/>
        <v>14</v>
      </c>
      <c r="I28" s="12">
        <f t="shared" si="1"/>
        <v>13</v>
      </c>
      <c r="J28" s="12">
        <f t="shared" si="1"/>
        <v>13</v>
      </c>
      <c r="K28" s="12">
        <f t="shared" si="1"/>
        <v>15</v>
      </c>
      <c r="L28" s="12">
        <f t="shared" si="1"/>
        <v>12</v>
      </c>
      <c r="M28" s="12">
        <f t="shared" si="1"/>
        <v>13</v>
      </c>
      <c r="N28" s="12">
        <f t="shared" si="1"/>
        <v>15</v>
      </c>
      <c r="O28" s="12">
        <f t="shared" si="1"/>
        <v>14</v>
      </c>
      <c r="P28" s="12">
        <f t="shared" si="1"/>
        <v>14</v>
      </c>
      <c r="Q28" s="12">
        <f t="shared" si="1"/>
        <v>13</v>
      </c>
      <c r="R28" s="12">
        <f t="shared" si="1"/>
        <v>10</v>
      </c>
      <c r="S28" s="12">
        <f t="shared" si="1"/>
        <v>11</v>
      </c>
      <c r="T28" s="12">
        <f t="shared" si="1"/>
        <v>16</v>
      </c>
      <c r="U28" s="12">
        <f t="shared" si="1"/>
        <v>12</v>
      </c>
      <c r="V28" s="12">
        <f t="shared" si="1"/>
        <v>14</v>
      </c>
      <c r="W28" s="12">
        <f t="shared" si="1"/>
        <v>14</v>
      </c>
      <c r="X28" s="12">
        <f t="shared" si="1"/>
        <v>10</v>
      </c>
      <c r="Y28" s="12">
        <f t="shared" si="1"/>
        <v>13</v>
      </c>
      <c r="Z28" s="12">
        <f t="shared" si="1"/>
        <v>14</v>
      </c>
      <c r="AA28" s="12">
        <f t="shared" si="1"/>
        <v>11</v>
      </c>
      <c r="AB28" s="12">
        <f t="shared" si="1"/>
        <v>12</v>
      </c>
      <c r="AC28" s="12">
        <f t="shared" si="1"/>
        <v>14</v>
      </c>
      <c r="AD28" s="12">
        <f t="shared" si="1"/>
        <v>14</v>
      </c>
      <c r="AE28" s="12">
        <f t="shared" si="1"/>
        <v>13</v>
      </c>
      <c r="AF28" s="12">
        <f t="shared" si="1"/>
        <v>14</v>
      </c>
      <c r="AG28" s="12">
        <f t="shared" si="1"/>
        <v>12</v>
      </c>
      <c r="AH28" s="12">
        <f t="shared" si="1"/>
        <v>13</v>
      </c>
    </row>
    <row r="29" spans="1:39" x14ac:dyDescent="0.3">
      <c r="A29" s="22" t="s">
        <v>286</v>
      </c>
      <c r="B29" s="17"/>
      <c r="C29" s="17"/>
      <c r="D29" s="17"/>
      <c r="E29" s="12">
        <f t="shared" ref="E29:AH29" si="2">COUNTIF(E8:E27,"E")</f>
        <v>0</v>
      </c>
      <c r="F29" s="12">
        <f t="shared" si="2"/>
        <v>4</v>
      </c>
      <c r="G29" s="12">
        <f t="shared" si="2"/>
        <v>3</v>
      </c>
      <c r="H29" s="12">
        <f t="shared" si="2"/>
        <v>2</v>
      </c>
      <c r="I29" s="12">
        <f t="shared" si="2"/>
        <v>3</v>
      </c>
      <c r="J29" s="12">
        <f t="shared" si="2"/>
        <v>2</v>
      </c>
      <c r="K29" s="12">
        <f t="shared" si="2"/>
        <v>0</v>
      </c>
      <c r="L29" s="12">
        <f t="shared" si="2"/>
        <v>3</v>
      </c>
      <c r="M29" s="12">
        <f t="shared" si="2"/>
        <v>3</v>
      </c>
      <c r="N29" s="12">
        <f t="shared" si="2"/>
        <v>1</v>
      </c>
      <c r="O29" s="12">
        <f t="shared" si="2"/>
        <v>2</v>
      </c>
      <c r="P29" s="12">
        <f t="shared" si="2"/>
        <v>2</v>
      </c>
      <c r="Q29" s="12">
        <f t="shared" si="2"/>
        <v>2</v>
      </c>
      <c r="R29" s="12">
        <f t="shared" si="2"/>
        <v>5</v>
      </c>
      <c r="S29" s="12">
        <f t="shared" si="2"/>
        <v>4</v>
      </c>
      <c r="T29" s="12">
        <f t="shared" si="2"/>
        <v>0</v>
      </c>
      <c r="U29" s="12">
        <f t="shared" si="2"/>
        <v>4</v>
      </c>
      <c r="V29" s="12">
        <f t="shared" si="2"/>
        <v>2</v>
      </c>
      <c r="W29" s="12">
        <f t="shared" si="2"/>
        <v>2</v>
      </c>
      <c r="X29" s="12">
        <f t="shared" si="2"/>
        <v>5</v>
      </c>
      <c r="Y29" s="12">
        <f t="shared" si="2"/>
        <v>2</v>
      </c>
      <c r="Z29" s="12">
        <f t="shared" si="2"/>
        <v>1</v>
      </c>
      <c r="AA29" s="12">
        <f t="shared" si="2"/>
        <v>5</v>
      </c>
      <c r="AB29" s="12">
        <f t="shared" si="2"/>
        <v>4</v>
      </c>
      <c r="AC29" s="12">
        <f t="shared" si="2"/>
        <v>2</v>
      </c>
      <c r="AD29" s="12">
        <f t="shared" si="2"/>
        <v>2</v>
      </c>
      <c r="AE29" s="12">
        <f t="shared" si="2"/>
        <v>2</v>
      </c>
      <c r="AF29" s="12">
        <f t="shared" si="2"/>
        <v>1</v>
      </c>
      <c r="AG29" s="12">
        <f t="shared" si="2"/>
        <v>3</v>
      </c>
      <c r="AH29" s="12">
        <f t="shared" si="2"/>
        <v>3</v>
      </c>
    </row>
    <row r="30" spans="1:39" x14ac:dyDescent="0.3">
      <c r="A30" s="22" t="s">
        <v>287</v>
      </c>
      <c r="B30" s="17"/>
      <c r="C30" s="17"/>
      <c r="D30" s="17"/>
      <c r="E30" s="12">
        <f t="shared" ref="E30:AH30" si="3">COUNTIF(E8:E27,"N")</f>
        <v>1</v>
      </c>
      <c r="F30" s="12">
        <f t="shared" si="3"/>
        <v>0</v>
      </c>
      <c r="G30" s="12">
        <f t="shared" si="3"/>
        <v>1</v>
      </c>
      <c r="H30" s="12">
        <f t="shared" si="3"/>
        <v>0</v>
      </c>
      <c r="I30" s="12">
        <f t="shared" si="3"/>
        <v>1</v>
      </c>
      <c r="J30" s="12">
        <f t="shared" si="3"/>
        <v>1</v>
      </c>
      <c r="K30" s="12">
        <f t="shared" si="3"/>
        <v>1</v>
      </c>
      <c r="L30" s="12">
        <f t="shared" si="3"/>
        <v>1</v>
      </c>
      <c r="M30" s="12">
        <f t="shared" si="3"/>
        <v>0</v>
      </c>
      <c r="N30" s="12">
        <f t="shared" si="3"/>
        <v>1</v>
      </c>
      <c r="O30" s="12">
        <f t="shared" si="3"/>
        <v>0</v>
      </c>
      <c r="P30" s="12">
        <f t="shared" si="3"/>
        <v>1</v>
      </c>
      <c r="Q30" s="12">
        <f t="shared" si="3"/>
        <v>1</v>
      </c>
      <c r="R30" s="12">
        <f t="shared" si="3"/>
        <v>1</v>
      </c>
      <c r="S30" s="12">
        <f t="shared" si="3"/>
        <v>1</v>
      </c>
      <c r="T30" s="12">
        <f t="shared" si="3"/>
        <v>0</v>
      </c>
      <c r="U30" s="12">
        <f t="shared" si="3"/>
        <v>1</v>
      </c>
      <c r="V30" s="12">
        <f t="shared" si="3"/>
        <v>0</v>
      </c>
      <c r="W30" s="12">
        <f t="shared" si="3"/>
        <v>1</v>
      </c>
      <c r="X30" s="12">
        <f t="shared" si="3"/>
        <v>1</v>
      </c>
      <c r="Y30" s="12">
        <f t="shared" si="3"/>
        <v>1</v>
      </c>
      <c r="Z30" s="12">
        <f t="shared" si="3"/>
        <v>1</v>
      </c>
      <c r="AA30" s="12">
        <f t="shared" si="3"/>
        <v>0</v>
      </c>
      <c r="AB30" s="12">
        <f t="shared" si="3"/>
        <v>1</v>
      </c>
      <c r="AC30" s="12">
        <f t="shared" si="3"/>
        <v>0</v>
      </c>
      <c r="AD30" s="12">
        <f t="shared" si="3"/>
        <v>1</v>
      </c>
      <c r="AE30" s="12">
        <f t="shared" si="3"/>
        <v>1</v>
      </c>
      <c r="AF30" s="12">
        <f t="shared" si="3"/>
        <v>1</v>
      </c>
      <c r="AG30" s="12">
        <f t="shared" si="3"/>
        <v>1</v>
      </c>
      <c r="AH30" s="12">
        <f t="shared" si="3"/>
        <v>0</v>
      </c>
    </row>
  </sheetData>
  <mergeCells count="7">
    <mergeCell ref="A1:AM1"/>
    <mergeCell ref="A30:D30"/>
    <mergeCell ref="A3:AM3"/>
    <mergeCell ref="A29:D29"/>
    <mergeCell ref="A2:AM2"/>
    <mergeCell ref="E5:L5"/>
    <mergeCell ref="A28:D28"/>
  </mergeCells>
  <conditionalFormatting sqref="E8:AH27">
    <cfRule type="cellIs" dxfId="26" priority="1" operator="equal">
      <formula>"M"</formula>
    </cfRule>
    <cfRule type="cellIs" dxfId="25" priority="2" operator="equal">
      <formula>"E"</formula>
    </cfRule>
    <cfRule type="cellIs" dxfId="24" priority="3" operator="equal">
      <formula>"N"</formula>
    </cfRule>
    <cfRule type="cellIs" dxfId="23" priority="4" operator="equal">
      <formula>"WO"</formula>
    </cfRule>
    <cfRule type="cellIs" dxfId="22" priority="5" operator="equal">
      <formula>"PH"</formula>
    </cfRule>
    <cfRule type="cellIs" dxfId="21" priority="6" operator="equal">
      <formula>"LV"</formula>
    </cfRule>
    <cfRule type="cellIs" dxfId="20" priority="7" operator="equal">
      <formula>"TR"</formula>
    </cfRule>
  </conditionalFormatting>
  <dataValidations count="1">
    <dataValidation type="list" allowBlank="1" promptTitle="Shift code" prompt="M Morning · E Evening · N Night · WO Off · PH Holiday · LV Leave · TR Training"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L8 L9 L10 L11 L12 L13 L14 L15 L16 L17 L18 L19 L20 L21 L22 L23 L24 L25 L26 L27 M8 M9 M10 M11 M12 M13 M14 M15 M16 M17 M18 M19 M20 M21 M22 M23 M24 M25 M26 M27 N8 N9 N10 N11 N12 N13 N14 N15 N16 N17 N18 N19 N20 N21 N22 N23 N24 N25 N26 N27 O8 O9 O10 O11 O12 O13 O14 O15 O16 O17 O18 O19 O20 O21 O22 O23 O24 O25 O26 O27 P8 P9 P10 P11 P12 P13 P14 P15 P16 P17 P18 P19 P20 P21 P22 P23 P24 P25 P26 P27 Q8 Q9 Q10 Q11 Q12 Q13 Q14 Q15 Q16 Q17 Q18 Q19 Q20 Q21 Q22 Q23 Q24 Q25 Q26 Q27 R8 R9 R10 R11 R12 R13 R14 R15 R16 R17 R18 R19 R20 R21 R22 R23 R24 R25 R26 R27 S8 S9 S10 S11 S12 S13 S14 S15 S16 S17 S18 S19 S20 S21 S22 S23 S24 S25 S26 S27 T8 T9 T10 T11 T12 T13 T14 T15 T16 T17 T18 T19 T20 T21 T22 T23 T24 T25 T26 T27 U8 U9 U10 U11 U12 U13 U14 U15 U16 U17 U18 U19 U20 U21 U22 U23 U24 U25 U26 U27 V8 V9 V10 V11 V12 V13 V14 V15 V16 V17 V18 V19 V20 V21 V22 V23 V24 V25 V26 V27 W8 W9 W10 W11 W12 W13 W14 W15 W16 W17 W18 W19 W20 W21 W22 W23 W24 W25 W26 W27 X8 X9 X10 X11 X12 X13 X14 X15 X16 X17 X18 X19 X20 X21 X22 X23 X24 X25 X26 X27 Y8 Y9 Y10 Y11 Y12 Y13 Y14 Y15 Y16 Y17 Y18 Y19 Y20 Y21 Y22 Y23 Y24 Y25 Y26 Y27 Z8 Z9 Z10 Z11 Z12 Z13 Z14 Z15 Z16 Z17 Z18 Z19 Z20 Z21 Z22 Z23 Z24 Z25 Z26 Z27 AA8 AA9 AA10 AA11 AA12 AA13 AA14 AA15 AA16 AA17 AA18 AA19 AA20 AA21 AA22 AA23 AA24 AA25 AA26 AA27 AB8 AB9 AB10 AB11 AB12 AB13 AB14 AB15 AB16 AB17 AB18 AB19 AB20 AB21 AB22 AB23 AB24 AB25 AB26 AB27 AC8 AC9 AC10 AC11 AC12 AC13 AC14 AC15 AC16 AC17 AC18 AC19 AC20 AC21 AC22 AC23 AC24 AC25 AC26 AC27 AD8 AD9 AD10 AD11 AD12 AD13 AD14 AD15 AD16 AD17 AD18 AD19 AD20 AD21 AD22 AD23 AD24 AD25 AD26 AD27 AE8 AE9 AE10 AE11 AE12 AE13 AE14 AE15 AE16 AE17 AE18 AE19 AE20 AE21 AE22 AE23 AE24 AE25 AE26 AE27 AF8 AF9 AF10 AF11 AF12 AF13 AF14 AF15 AF16 AF17 AF18 AF19 AF20 AF21 AF22 AF23 AF24 AF25 AF26 AF27 AG8 AG9 AG10 AG11 AG12 AG13 AG14 AG15 AG16 AG17 AG18 AG19 AG20 AG21 AG22 AG23 AG24 AG25 AG26 AG27 AH8 AH9 AH10 AH11 AH12 AH13 AH14 AH15 AH16 AH17 AH18 AH19 AH20 AH21 AH22 AH23 AH24 AH25 AH26 AH27" xr:uid="{00000000-0002-0000-0300-000000000000}">
      <formula1>"M,E,N,WO,PH,LV,TR"</formula1>
    </dataValidation>
  </dataValidations>
  <pageMargins left="0.4" right="0.4" top="0.5" bottom="0.5" header="0.2" footer="0.2"/>
  <pageSetup paperSize="9" fitToHeight="0" orientation="landscape"/>
  <extLst>
    <ext xmlns:x14="http://schemas.microsoft.com/office/spreadsheetml/2009/9/main" uri="{CCE6A557-97BC-4b89-ADB6-D9C93CAAB3DF}">
      <x14:dataValidations xmlns:xm="http://schemas.microsoft.com/office/excel/2006/main" count="1">
        <x14:dataValidation type="list" allowBlank="1" xr:uid="{00000000-0002-0000-0300-000001000000}">
          <x14:formula1>
            <xm:f>'02_Employee_Master'!$B$6:$B$25</xm:f>
          </x14:formula1>
          <xm:sqref>AK8 AK9 AK10 AK11 AK12 AK13 AK14 AK15 AK16 AK17 AK18 AK19 AK20 AK21 AK22 AK23 AK24 AK25 AK26 AK27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7A4E"/>
    <pageSetUpPr fitToPage="1"/>
  </sheetPr>
  <dimension ref="A1:AP28"/>
  <sheetViews>
    <sheetView showGridLines="0" zoomScale="90" workbookViewId="0">
      <pane xSplit="4" ySplit="7" topLeftCell="E8" activePane="bottomRight" state="frozen"/>
      <selection pane="topRight"/>
      <selection pane="bottomLeft"/>
      <selection pane="bottomRight" sqref="A1:AP1"/>
    </sheetView>
  </sheetViews>
  <sheetFormatPr defaultRowHeight="14.4" x14ac:dyDescent="0.3"/>
  <cols>
    <col min="1" max="1" width="10" customWidth="1"/>
    <col min="2" max="2" width="20" customWidth="1"/>
    <col min="3" max="3" width="16" customWidth="1"/>
    <col min="4" max="4" width="22" customWidth="1"/>
    <col min="5" max="34" width="3.44140625" customWidth="1"/>
    <col min="35" max="41" width="9" customWidth="1"/>
    <col min="42" max="42" width="8" customWidth="1"/>
  </cols>
  <sheetData>
    <row r="1" spans="1:42" ht="16.05" customHeight="1" x14ac:dyDescent="0.3">
      <c r="A1" s="19"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row>
    <row r="2" spans="1:42" ht="25.95" customHeight="1" x14ac:dyDescent="0.3">
      <c r="A2" s="16" t="s">
        <v>288</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row>
    <row r="3" spans="1:42" ht="18" customHeight="1" x14ac:dyDescent="0.3">
      <c r="A3" s="21" t="s">
        <v>289</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row>
    <row r="5" spans="1:42" ht="15.6" x14ac:dyDescent="0.3">
      <c r="A5" s="1" t="s">
        <v>290</v>
      </c>
      <c r="B5" s="11">
        <f>'03_Roster'!B5</f>
        <v>9</v>
      </c>
      <c r="C5" s="11">
        <f>'03_Roster'!D5</f>
        <v>2026</v>
      </c>
      <c r="D5" s="11">
        <v>46266</v>
      </c>
      <c r="E5" s="23" t="s">
        <v>291</v>
      </c>
      <c r="F5" s="17"/>
      <c r="G5" s="17"/>
      <c r="H5" s="17"/>
      <c r="I5" s="17"/>
      <c r="J5" s="17"/>
      <c r="K5" s="17"/>
      <c r="L5" s="17"/>
      <c r="M5" s="17"/>
      <c r="N5" s="17"/>
    </row>
    <row r="6" spans="1:42" x14ac:dyDescent="0.3">
      <c r="A6" s="2" t="s">
        <v>275</v>
      </c>
      <c r="B6" s="2" t="s">
        <v>157</v>
      </c>
      <c r="C6" s="2" t="s">
        <v>159</v>
      </c>
      <c r="D6" s="2" t="s">
        <v>158</v>
      </c>
      <c r="E6" s="2">
        <v>1</v>
      </c>
      <c r="F6" s="2">
        <v>2</v>
      </c>
      <c r="G6" s="2">
        <v>3</v>
      </c>
      <c r="H6" s="2">
        <v>4</v>
      </c>
      <c r="I6" s="2">
        <v>5</v>
      </c>
      <c r="J6" s="2">
        <v>6</v>
      </c>
      <c r="K6" s="2">
        <v>7</v>
      </c>
      <c r="L6" s="2">
        <v>8</v>
      </c>
      <c r="M6" s="2">
        <v>9</v>
      </c>
      <c r="N6" s="2">
        <v>10</v>
      </c>
      <c r="O6" s="2">
        <v>11</v>
      </c>
      <c r="P6" s="2">
        <v>12</v>
      </c>
      <c r="Q6" s="2">
        <v>13</v>
      </c>
      <c r="R6" s="2">
        <v>14</v>
      </c>
      <c r="S6" s="2">
        <v>15</v>
      </c>
      <c r="T6" s="2">
        <v>16</v>
      </c>
      <c r="U6" s="2">
        <v>17</v>
      </c>
      <c r="V6" s="2">
        <v>18</v>
      </c>
      <c r="W6" s="2">
        <v>19</v>
      </c>
      <c r="X6" s="2">
        <v>20</v>
      </c>
      <c r="Y6" s="2">
        <v>21</v>
      </c>
      <c r="Z6" s="2">
        <v>22</v>
      </c>
      <c r="AA6" s="2">
        <v>23</v>
      </c>
      <c r="AB6" s="2">
        <v>24</v>
      </c>
      <c r="AC6" s="2">
        <v>25</v>
      </c>
      <c r="AD6" s="2">
        <v>26</v>
      </c>
      <c r="AE6" s="2">
        <v>27</v>
      </c>
      <c r="AF6" s="2">
        <v>28</v>
      </c>
      <c r="AG6" s="2">
        <v>29</v>
      </c>
      <c r="AH6" s="2">
        <v>30</v>
      </c>
      <c r="AI6" s="2" t="s">
        <v>43</v>
      </c>
      <c r="AJ6" s="2" t="s">
        <v>50</v>
      </c>
      <c r="AK6" s="2" t="s">
        <v>292</v>
      </c>
      <c r="AL6" s="2" t="s">
        <v>64</v>
      </c>
      <c r="AM6" s="2" t="s">
        <v>74</v>
      </c>
      <c r="AN6" s="2" t="s">
        <v>293</v>
      </c>
      <c r="AO6" s="2" t="s">
        <v>294</v>
      </c>
      <c r="AP6" s="2" t="s">
        <v>295</v>
      </c>
    </row>
    <row r="7" spans="1:42" x14ac:dyDescent="0.3">
      <c r="E7" s="12" t="s">
        <v>281</v>
      </c>
      <c r="F7" s="12" t="s">
        <v>282</v>
      </c>
      <c r="G7" s="12" t="s">
        <v>281</v>
      </c>
      <c r="H7" s="12" t="s">
        <v>283</v>
      </c>
      <c r="I7" s="12" t="s">
        <v>284</v>
      </c>
      <c r="J7" s="12" t="s">
        <v>284</v>
      </c>
      <c r="K7" s="12" t="s">
        <v>39</v>
      </c>
      <c r="L7" s="12" t="s">
        <v>281</v>
      </c>
      <c r="M7" s="12" t="s">
        <v>282</v>
      </c>
      <c r="N7" s="12" t="s">
        <v>281</v>
      </c>
      <c r="O7" s="12" t="s">
        <v>283</v>
      </c>
      <c r="P7" s="12" t="s">
        <v>284</v>
      </c>
      <c r="Q7" s="12" t="s">
        <v>284</v>
      </c>
      <c r="R7" s="12" t="s">
        <v>39</v>
      </c>
      <c r="S7" s="12" t="s">
        <v>281</v>
      </c>
      <c r="T7" s="12" t="s">
        <v>282</v>
      </c>
      <c r="U7" s="12" t="s">
        <v>281</v>
      </c>
      <c r="V7" s="12" t="s">
        <v>283</v>
      </c>
      <c r="W7" s="12" t="s">
        <v>284</v>
      </c>
      <c r="X7" s="12" t="s">
        <v>284</v>
      </c>
      <c r="Y7" s="12" t="s">
        <v>39</v>
      </c>
      <c r="Z7" s="12" t="s">
        <v>281</v>
      </c>
      <c r="AA7" s="12" t="s">
        <v>282</v>
      </c>
      <c r="AB7" s="12" t="s">
        <v>281</v>
      </c>
      <c r="AC7" s="12" t="s">
        <v>283</v>
      </c>
      <c r="AD7" s="12" t="s">
        <v>284</v>
      </c>
      <c r="AE7" s="12" t="s">
        <v>284</v>
      </c>
      <c r="AF7" s="12" t="s">
        <v>39</v>
      </c>
      <c r="AG7" s="12" t="s">
        <v>281</v>
      </c>
      <c r="AH7" s="12" t="s">
        <v>282</v>
      </c>
    </row>
    <row r="8" spans="1:42" ht="18" customHeight="1" x14ac:dyDescent="0.3">
      <c r="A8" s="7" t="str">
        <f>'02_Employee_Master'!A6</f>
        <v>PL-001</v>
      </c>
      <c r="B8" s="4" t="str">
        <f>'02_Employee_Master'!B6</f>
        <v>Dr. Ananya Mehta</v>
      </c>
      <c r="C8" s="4" t="str">
        <f>'02_Employee_Master'!D6</f>
        <v>Histopathology</v>
      </c>
      <c r="D8" s="4" t="str">
        <f>'02_Employee_Master'!C6</f>
        <v>Pathologist</v>
      </c>
      <c r="E8" s="14" t="s">
        <v>42</v>
      </c>
      <c r="F8" s="14" t="s">
        <v>42</v>
      </c>
      <c r="G8" s="14" t="s">
        <v>42</v>
      </c>
      <c r="H8" s="14" t="s">
        <v>42</v>
      </c>
      <c r="I8" s="14" t="s">
        <v>42</v>
      </c>
      <c r="J8" s="14" t="s">
        <v>89</v>
      </c>
      <c r="K8" s="14" t="s">
        <v>60</v>
      </c>
      <c r="L8" s="14" t="s">
        <v>42</v>
      </c>
      <c r="M8" s="14" t="s">
        <v>42</v>
      </c>
      <c r="N8" s="14" t="s">
        <v>42</v>
      </c>
      <c r="O8" s="14" t="s">
        <v>42</v>
      </c>
      <c r="P8" s="14" t="s">
        <v>42</v>
      </c>
      <c r="Q8" s="14" t="s">
        <v>42</v>
      </c>
      <c r="R8" s="14" t="s">
        <v>60</v>
      </c>
      <c r="S8" s="14" t="s">
        <v>42</v>
      </c>
      <c r="T8" s="14" t="s">
        <v>42</v>
      </c>
      <c r="U8" s="14" t="s">
        <v>42</v>
      </c>
      <c r="V8" s="14" t="s">
        <v>42</v>
      </c>
      <c r="W8" s="14" t="s">
        <v>42</v>
      </c>
      <c r="X8" s="14" t="s">
        <v>42</v>
      </c>
      <c r="Y8" s="14" t="s">
        <v>60</v>
      </c>
      <c r="Z8" s="14" t="s">
        <v>42</v>
      </c>
      <c r="AA8" s="14" t="s">
        <v>42</v>
      </c>
      <c r="AB8" s="14" t="s">
        <v>42</v>
      </c>
      <c r="AC8" s="14" t="s">
        <v>42</v>
      </c>
      <c r="AD8" s="14" t="s">
        <v>42</v>
      </c>
      <c r="AE8" s="14" t="s">
        <v>42</v>
      </c>
      <c r="AF8" s="14" t="s">
        <v>60</v>
      </c>
      <c r="AG8" s="14" t="s">
        <v>49</v>
      </c>
      <c r="AH8" s="14" t="s">
        <v>42</v>
      </c>
      <c r="AI8" s="6">
        <f t="shared" ref="AI8:AI27" si="0">COUNTIF(E8:AH8,"P")+COUNTIF(E8:AH8,"L")+COUNTIF(E8:AH8,"WFO")+COUNTIF(E8:AH8,"OT")</f>
        <v>24</v>
      </c>
      <c r="AJ8" s="6">
        <f t="shared" ref="AJ8:AJ27" si="1">COUNTIF(E8:AH8,"A")</f>
        <v>1</v>
      </c>
      <c r="AK8" s="6">
        <f t="shared" ref="AK8:AK27" si="2">COUNTIF(E8:AH8,"L")</f>
        <v>0</v>
      </c>
      <c r="AL8" s="6">
        <f t="shared" ref="AL8:AL27" si="3">COUNTIF(E8:AH8,"HD")</f>
        <v>0</v>
      </c>
      <c r="AM8" s="6">
        <f t="shared" ref="AM8:AM27" si="4">COUNTIF(E8:AH8,"PL")+COUNTIF(E8:AH8,"UL")+COUNTIF(E8:AH8,"VL")+COUNTIF(E8:AH8,"SL")</f>
        <v>1</v>
      </c>
      <c r="AN8" s="6">
        <f t="shared" ref="AN8:AN27" si="5">COUNTIF(E8:AH8,"WO")+COUNTIF(E8:AH8,"H")</f>
        <v>4</v>
      </c>
      <c r="AO8" s="6">
        <f>'03_Roster'!AJ8</f>
        <v>0</v>
      </c>
      <c r="AP8" s="6">
        <f t="shared" ref="AP8:AP27" si="6">IFERROR((AI8+AL8*0.5)/(COUNTA(E8:AH8)-AN8),"")</f>
        <v>0.92307692307692313</v>
      </c>
    </row>
    <row r="9" spans="1:42" ht="18" customHeight="1" x14ac:dyDescent="0.3">
      <c r="A9" s="7" t="str">
        <f>'02_Employee_Master'!A7</f>
        <v>PL-002</v>
      </c>
      <c r="B9" s="4" t="str">
        <f>'02_Employee_Master'!B7</f>
        <v>Vikram Singh</v>
      </c>
      <c r="C9" s="4" t="str">
        <f>'02_Employee_Master'!D7</f>
        <v>Administration</v>
      </c>
      <c r="D9" s="4" t="str">
        <f>'02_Employee_Master'!C7</f>
        <v>Lab Manager</v>
      </c>
      <c r="E9" s="14" t="s">
        <v>42</v>
      </c>
      <c r="F9" s="14" t="s">
        <v>60</v>
      </c>
      <c r="G9" s="14" t="s">
        <v>42</v>
      </c>
      <c r="H9" s="14" t="s">
        <v>63</v>
      </c>
      <c r="I9" s="14" t="s">
        <v>42</v>
      </c>
      <c r="J9" s="14" t="s">
        <v>42</v>
      </c>
      <c r="K9" s="14" t="s">
        <v>42</v>
      </c>
      <c r="L9" s="14" t="s">
        <v>42</v>
      </c>
      <c r="M9" s="14" t="s">
        <v>60</v>
      </c>
      <c r="N9" s="14" t="s">
        <v>42</v>
      </c>
      <c r="O9" s="14" t="s">
        <v>42</v>
      </c>
      <c r="P9" s="14" t="s">
        <v>42</v>
      </c>
      <c r="Q9" s="14" t="s">
        <v>42</v>
      </c>
      <c r="R9" s="14" t="s">
        <v>42</v>
      </c>
      <c r="S9" s="14" t="s">
        <v>42</v>
      </c>
      <c r="T9" s="14" t="s">
        <v>60</v>
      </c>
      <c r="U9" s="14" t="s">
        <v>42</v>
      </c>
      <c r="V9" s="14" t="s">
        <v>42</v>
      </c>
      <c r="W9" s="14" t="s">
        <v>42</v>
      </c>
      <c r="X9" s="14" t="s">
        <v>42</v>
      </c>
      <c r="Y9" s="14" t="s">
        <v>42</v>
      </c>
      <c r="Z9" s="14" t="s">
        <v>42</v>
      </c>
      <c r="AA9" s="14" t="s">
        <v>60</v>
      </c>
      <c r="AB9" s="14" t="s">
        <v>42</v>
      </c>
      <c r="AC9" s="14" t="s">
        <v>42</v>
      </c>
      <c r="AD9" s="14" t="s">
        <v>42</v>
      </c>
      <c r="AE9" s="14" t="s">
        <v>42</v>
      </c>
      <c r="AF9" s="14" t="s">
        <v>42</v>
      </c>
      <c r="AG9" s="14" t="s">
        <v>42</v>
      </c>
      <c r="AH9" s="14" t="s">
        <v>60</v>
      </c>
      <c r="AI9" s="6">
        <f t="shared" si="0"/>
        <v>24</v>
      </c>
      <c r="AJ9" s="6">
        <f t="shared" si="1"/>
        <v>0</v>
      </c>
      <c r="AK9" s="6">
        <f t="shared" si="2"/>
        <v>0</v>
      </c>
      <c r="AL9" s="6">
        <f t="shared" si="3"/>
        <v>1</v>
      </c>
      <c r="AM9" s="6">
        <f t="shared" si="4"/>
        <v>0</v>
      </c>
      <c r="AN9" s="6">
        <f t="shared" si="5"/>
        <v>5</v>
      </c>
      <c r="AO9" s="6">
        <f>'03_Roster'!AJ9</f>
        <v>0</v>
      </c>
      <c r="AP9" s="6">
        <f t="shared" si="6"/>
        <v>0.98</v>
      </c>
    </row>
    <row r="10" spans="1:42" ht="18" customHeight="1" x14ac:dyDescent="0.3">
      <c r="A10" s="7" t="str">
        <f>'02_Employee_Master'!A8</f>
        <v>PL-003</v>
      </c>
      <c r="B10" s="4" t="str">
        <f>'02_Employee_Master'!B8</f>
        <v>Sneha Patel</v>
      </c>
      <c r="C10" s="4" t="str">
        <f>'02_Employee_Master'!D8</f>
        <v>Hematology</v>
      </c>
      <c r="D10" s="4" t="str">
        <f>'02_Employee_Master'!C8</f>
        <v>Senior Lab Technologist</v>
      </c>
      <c r="E10" s="14" t="s">
        <v>42</v>
      </c>
      <c r="F10" s="14" t="s">
        <v>42</v>
      </c>
      <c r="G10" s="14" t="s">
        <v>42</v>
      </c>
      <c r="H10" s="14" t="s">
        <v>60</v>
      </c>
      <c r="I10" s="14" t="s">
        <v>42</v>
      </c>
      <c r="J10" s="14" t="s">
        <v>42</v>
      </c>
      <c r="K10" s="14" t="s">
        <v>42</v>
      </c>
      <c r="L10" s="14" t="s">
        <v>42</v>
      </c>
      <c r="M10" s="14" t="s">
        <v>42</v>
      </c>
      <c r="N10" s="14" t="s">
        <v>42</v>
      </c>
      <c r="O10" s="14" t="s">
        <v>60</v>
      </c>
      <c r="P10" s="14" t="s">
        <v>42</v>
      </c>
      <c r="Q10" s="14" t="s">
        <v>42</v>
      </c>
      <c r="R10" s="14" t="s">
        <v>42</v>
      </c>
      <c r="S10" s="14" t="s">
        <v>42</v>
      </c>
      <c r="T10" s="14" t="s">
        <v>42</v>
      </c>
      <c r="U10" s="14" t="s">
        <v>42</v>
      </c>
      <c r="V10" s="14" t="s">
        <v>60</v>
      </c>
      <c r="W10" s="14" t="s">
        <v>42</v>
      </c>
      <c r="X10" s="14" t="s">
        <v>42</v>
      </c>
      <c r="Y10" s="14" t="s">
        <v>42</v>
      </c>
      <c r="Z10" s="14" t="s">
        <v>42</v>
      </c>
      <c r="AA10" s="14" t="s">
        <v>42</v>
      </c>
      <c r="AB10" s="14" t="s">
        <v>42</v>
      </c>
      <c r="AC10" s="14" t="s">
        <v>60</v>
      </c>
      <c r="AD10" s="14" t="s">
        <v>42</v>
      </c>
      <c r="AE10" s="14" t="s">
        <v>42</v>
      </c>
      <c r="AF10" s="14" t="s">
        <v>42</v>
      </c>
      <c r="AG10" s="14" t="s">
        <v>42</v>
      </c>
      <c r="AH10" s="14" t="s">
        <v>42</v>
      </c>
      <c r="AI10" s="6">
        <f t="shared" si="0"/>
        <v>26</v>
      </c>
      <c r="AJ10" s="6">
        <f t="shared" si="1"/>
        <v>0</v>
      </c>
      <c r="AK10" s="6">
        <f t="shared" si="2"/>
        <v>0</v>
      </c>
      <c r="AL10" s="6">
        <f t="shared" si="3"/>
        <v>0</v>
      </c>
      <c r="AM10" s="6">
        <f t="shared" si="4"/>
        <v>0</v>
      </c>
      <c r="AN10" s="6">
        <f t="shared" si="5"/>
        <v>4</v>
      </c>
      <c r="AO10" s="6">
        <f>'03_Roster'!AJ10</f>
        <v>0</v>
      </c>
      <c r="AP10" s="6">
        <f t="shared" si="6"/>
        <v>1</v>
      </c>
    </row>
    <row r="11" spans="1:42" ht="18" customHeight="1" x14ac:dyDescent="0.3">
      <c r="A11" s="7" t="str">
        <f>'02_Employee_Master'!A9</f>
        <v>PL-004</v>
      </c>
      <c r="B11" s="4" t="str">
        <f>'02_Employee_Master'!B9</f>
        <v>Rahul Nair</v>
      </c>
      <c r="C11" s="4" t="str">
        <f>'02_Employee_Master'!D9</f>
        <v>Hematology</v>
      </c>
      <c r="D11" s="4" t="str">
        <f>'02_Employee_Master'!C9</f>
        <v>Lab Technologist</v>
      </c>
      <c r="E11" s="14" t="s">
        <v>42</v>
      </c>
      <c r="F11" s="14" t="s">
        <v>42</v>
      </c>
      <c r="G11" s="14" t="s">
        <v>42</v>
      </c>
      <c r="H11" s="14" t="s">
        <v>42</v>
      </c>
      <c r="I11" s="14" t="s">
        <v>42</v>
      </c>
      <c r="J11" s="14" t="s">
        <v>60</v>
      </c>
      <c r="K11" s="14" t="s">
        <v>42</v>
      </c>
      <c r="L11" s="14" t="s">
        <v>42</v>
      </c>
      <c r="M11" s="14" t="s">
        <v>42</v>
      </c>
      <c r="N11" s="14" t="s">
        <v>42</v>
      </c>
      <c r="O11" s="14" t="s">
        <v>42</v>
      </c>
      <c r="P11" s="14" t="s">
        <v>42</v>
      </c>
      <c r="Q11" s="14" t="s">
        <v>60</v>
      </c>
      <c r="R11" s="14" t="s">
        <v>42</v>
      </c>
      <c r="S11" s="14" t="s">
        <v>42</v>
      </c>
      <c r="T11" s="14" t="s">
        <v>42</v>
      </c>
      <c r="U11" s="14" t="s">
        <v>42</v>
      </c>
      <c r="V11" s="14" t="s">
        <v>42</v>
      </c>
      <c r="W11" s="14" t="s">
        <v>42</v>
      </c>
      <c r="X11" s="14" t="s">
        <v>60</v>
      </c>
      <c r="Y11" s="14" t="s">
        <v>42</v>
      </c>
      <c r="Z11" s="14" t="s">
        <v>42</v>
      </c>
      <c r="AA11" s="14" t="s">
        <v>42</v>
      </c>
      <c r="AB11" s="14" t="s">
        <v>42</v>
      </c>
      <c r="AC11" s="14" t="s">
        <v>42</v>
      </c>
      <c r="AD11" s="14" t="s">
        <v>42</v>
      </c>
      <c r="AE11" s="14" t="s">
        <v>60</v>
      </c>
      <c r="AF11" s="14" t="s">
        <v>42</v>
      </c>
      <c r="AG11" s="14" t="s">
        <v>42</v>
      </c>
      <c r="AH11" s="14" t="s">
        <v>42</v>
      </c>
      <c r="AI11" s="6">
        <f t="shared" si="0"/>
        <v>26</v>
      </c>
      <c r="AJ11" s="6">
        <f t="shared" si="1"/>
        <v>0</v>
      </c>
      <c r="AK11" s="6">
        <f t="shared" si="2"/>
        <v>0</v>
      </c>
      <c r="AL11" s="6">
        <f t="shared" si="3"/>
        <v>0</v>
      </c>
      <c r="AM11" s="6">
        <f t="shared" si="4"/>
        <v>0</v>
      </c>
      <c r="AN11" s="6">
        <f t="shared" si="5"/>
        <v>4</v>
      </c>
      <c r="AO11" s="6">
        <f>'03_Roster'!AJ11</f>
        <v>0</v>
      </c>
      <c r="AP11" s="6">
        <f t="shared" si="6"/>
        <v>1</v>
      </c>
    </row>
    <row r="12" spans="1:42" ht="18" customHeight="1" x14ac:dyDescent="0.3">
      <c r="A12" s="7" t="str">
        <f>'02_Employee_Master'!A10</f>
        <v>PL-005</v>
      </c>
      <c r="B12" s="4" t="str">
        <f>'02_Employee_Master'!B10</f>
        <v>Fatima Khan</v>
      </c>
      <c r="C12" s="4" t="str">
        <f>'02_Employee_Master'!D10</f>
        <v>Biochemistry</v>
      </c>
      <c r="D12" s="4" t="str">
        <f>'02_Employee_Master'!C10</f>
        <v>Lab Technologist</v>
      </c>
      <c r="E12" s="14" t="s">
        <v>60</v>
      </c>
      <c r="F12" s="14" t="s">
        <v>42</v>
      </c>
      <c r="G12" s="14" t="s">
        <v>42</v>
      </c>
      <c r="H12" s="14" t="s">
        <v>42</v>
      </c>
      <c r="I12" s="14" t="s">
        <v>42</v>
      </c>
      <c r="J12" s="14" t="s">
        <v>42</v>
      </c>
      <c r="K12" s="14" t="s">
        <v>42</v>
      </c>
      <c r="L12" s="14" t="s">
        <v>60</v>
      </c>
      <c r="M12" s="14" t="s">
        <v>42</v>
      </c>
      <c r="N12" s="14" t="s">
        <v>42</v>
      </c>
      <c r="O12" s="14" t="s">
        <v>42</v>
      </c>
      <c r="P12" s="14" t="s">
        <v>42</v>
      </c>
      <c r="Q12" s="14" t="s">
        <v>42</v>
      </c>
      <c r="R12" s="14" t="s">
        <v>42</v>
      </c>
      <c r="S12" s="14" t="s">
        <v>60</v>
      </c>
      <c r="T12" s="14" t="s">
        <v>42</v>
      </c>
      <c r="U12" s="14" t="s">
        <v>42</v>
      </c>
      <c r="V12" s="14" t="s">
        <v>42</v>
      </c>
      <c r="W12" s="14" t="s">
        <v>42</v>
      </c>
      <c r="X12" s="14" t="s">
        <v>42</v>
      </c>
      <c r="Y12" s="14" t="s">
        <v>42</v>
      </c>
      <c r="Z12" s="14" t="s">
        <v>60</v>
      </c>
      <c r="AA12" s="14" t="s">
        <v>42</v>
      </c>
      <c r="AB12" s="14" t="s">
        <v>42</v>
      </c>
      <c r="AC12" s="14" t="s">
        <v>42</v>
      </c>
      <c r="AD12" s="14" t="s">
        <v>42</v>
      </c>
      <c r="AE12" s="14" t="s">
        <v>56</v>
      </c>
      <c r="AF12" s="14" t="s">
        <v>42</v>
      </c>
      <c r="AG12" s="14" t="s">
        <v>60</v>
      </c>
      <c r="AH12" s="14" t="s">
        <v>42</v>
      </c>
      <c r="AI12" s="6">
        <f t="shared" si="0"/>
        <v>25</v>
      </c>
      <c r="AJ12" s="6">
        <f t="shared" si="1"/>
        <v>0</v>
      </c>
      <c r="AK12" s="6">
        <f t="shared" si="2"/>
        <v>1</v>
      </c>
      <c r="AL12" s="6">
        <f t="shared" si="3"/>
        <v>0</v>
      </c>
      <c r="AM12" s="6">
        <f t="shared" si="4"/>
        <v>0</v>
      </c>
      <c r="AN12" s="6">
        <f t="shared" si="5"/>
        <v>5</v>
      </c>
      <c r="AO12" s="6">
        <f>'03_Roster'!AJ12</f>
        <v>0</v>
      </c>
      <c r="AP12" s="6">
        <f t="shared" si="6"/>
        <v>1</v>
      </c>
    </row>
    <row r="13" spans="1:42" ht="18" customHeight="1" x14ac:dyDescent="0.3">
      <c r="A13" s="7" t="str">
        <f>'02_Employee_Master'!A11</f>
        <v>PL-006</v>
      </c>
      <c r="B13" s="4" t="str">
        <f>'02_Employee_Master'!B11</f>
        <v>Arjun Reddy</v>
      </c>
      <c r="C13" s="4" t="str">
        <f>'02_Employee_Master'!D11</f>
        <v>Biochemistry</v>
      </c>
      <c r="D13" s="4" t="str">
        <f>'02_Employee_Master'!C11</f>
        <v>Lab Technologist</v>
      </c>
      <c r="E13" s="14" t="s">
        <v>42</v>
      </c>
      <c r="F13" s="14" t="s">
        <v>42</v>
      </c>
      <c r="G13" s="14" t="s">
        <v>60</v>
      </c>
      <c r="H13" s="14" t="s">
        <v>42</v>
      </c>
      <c r="I13" s="14" t="s">
        <v>42</v>
      </c>
      <c r="J13" s="14" t="s">
        <v>42</v>
      </c>
      <c r="K13" s="14" t="s">
        <v>42</v>
      </c>
      <c r="L13" s="14" t="s">
        <v>42</v>
      </c>
      <c r="M13" s="14" t="s">
        <v>42</v>
      </c>
      <c r="N13" s="14" t="s">
        <v>60</v>
      </c>
      <c r="O13" s="14" t="s">
        <v>42</v>
      </c>
      <c r="P13" s="14" t="s">
        <v>42</v>
      </c>
      <c r="Q13" s="14" t="s">
        <v>42</v>
      </c>
      <c r="R13" s="14" t="s">
        <v>42</v>
      </c>
      <c r="S13" s="14" t="s">
        <v>42</v>
      </c>
      <c r="T13" s="14" t="s">
        <v>42</v>
      </c>
      <c r="U13" s="14" t="s">
        <v>60</v>
      </c>
      <c r="V13" s="14" t="s">
        <v>42</v>
      </c>
      <c r="W13" s="14" t="s">
        <v>42</v>
      </c>
      <c r="X13" s="14" t="s">
        <v>42</v>
      </c>
      <c r="Y13" s="14" t="s">
        <v>42</v>
      </c>
      <c r="Z13" s="14" t="s">
        <v>42</v>
      </c>
      <c r="AA13" s="14" t="s">
        <v>42</v>
      </c>
      <c r="AB13" s="14" t="s">
        <v>60</v>
      </c>
      <c r="AC13" s="14" t="s">
        <v>42</v>
      </c>
      <c r="AD13" s="14" t="s">
        <v>42</v>
      </c>
      <c r="AE13" s="14" t="s">
        <v>42</v>
      </c>
      <c r="AF13" s="14" t="s">
        <v>42</v>
      </c>
      <c r="AG13" s="14" t="s">
        <v>42</v>
      </c>
      <c r="AH13" s="14" t="s">
        <v>42</v>
      </c>
      <c r="AI13" s="6">
        <f t="shared" si="0"/>
        <v>26</v>
      </c>
      <c r="AJ13" s="6">
        <f t="shared" si="1"/>
        <v>0</v>
      </c>
      <c r="AK13" s="6">
        <f t="shared" si="2"/>
        <v>0</v>
      </c>
      <c r="AL13" s="6">
        <f t="shared" si="3"/>
        <v>0</v>
      </c>
      <c r="AM13" s="6">
        <f t="shared" si="4"/>
        <v>0</v>
      </c>
      <c r="AN13" s="6">
        <f t="shared" si="5"/>
        <v>4</v>
      </c>
      <c r="AO13" s="6">
        <f>'03_Roster'!AJ13</f>
        <v>0</v>
      </c>
      <c r="AP13" s="6">
        <f t="shared" si="6"/>
        <v>1</v>
      </c>
    </row>
    <row r="14" spans="1:42" ht="18" customHeight="1" x14ac:dyDescent="0.3">
      <c r="A14" s="7" t="str">
        <f>'02_Employee_Master'!A12</f>
        <v>PL-007</v>
      </c>
      <c r="B14" s="4" t="str">
        <f>'02_Employee_Master'!B12</f>
        <v>Meera Iyer</v>
      </c>
      <c r="C14" s="4" t="str">
        <f>'02_Employee_Master'!D12</f>
        <v>Microbiology</v>
      </c>
      <c r="D14" s="4" t="str">
        <f>'02_Employee_Master'!C12</f>
        <v>Senior Lab Technologist</v>
      </c>
      <c r="E14" s="14" t="s">
        <v>42</v>
      </c>
      <c r="F14" s="14" t="s">
        <v>42</v>
      </c>
      <c r="G14" s="14" t="s">
        <v>42</v>
      </c>
      <c r="H14" s="14" t="s">
        <v>42</v>
      </c>
      <c r="I14" s="14" t="s">
        <v>60</v>
      </c>
      <c r="J14" s="14" t="s">
        <v>42</v>
      </c>
      <c r="K14" s="14" t="s">
        <v>42</v>
      </c>
      <c r="L14" s="14" t="s">
        <v>42</v>
      </c>
      <c r="M14" s="14" t="s">
        <v>42</v>
      </c>
      <c r="N14" s="14" t="s">
        <v>42</v>
      </c>
      <c r="O14" s="14" t="s">
        <v>42</v>
      </c>
      <c r="P14" s="14" t="s">
        <v>60</v>
      </c>
      <c r="Q14" s="14" t="s">
        <v>42</v>
      </c>
      <c r="R14" s="14" t="s">
        <v>42</v>
      </c>
      <c r="S14" s="14" t="s">
        <v>42</v>
      </c>
      <c r="T14" s="14" t="s">
        <v>42</v>
      </c>
      <c r="U14" s="14" t="s">
        <v>42</v>
      </c>
      <c r="V14" s="14" t="s">
        <v>42</v>
      </c>
      <c r="W14" s="14" t="s">
        <v>60</v>
      </c>
      <c r="X14" s="14" t="s">
        <v>42</v>
      </c>
      <c r="Y14" s="14" t="s">
        <v>42</v>
      </c>
      <c r="Z14" s="14" t="s">
        <v>42</v>
      </c>
      <c r="AA14" s="14" t="s">
        <v>42</v>
      </c>
      <c r="AB14" s="14" t="s">
        <v>42</v>
      </c>
      <c r="AC14" s="14" t="s">
        <v>42</v>
      </c>
      <c r="AD14" s="14" t="s">
        <v>60</v>
      </c>
      <c r="AE14" s="14" t="s">
        <v>42</v>
      </c>
      <c r="AF14" s="14" t="s">
        <v>42</v>
      </c>
      <c r="AG14" s="14" t="s">
        <v>42</v>
      </c>
      <c r="AH14" s="14" t="s">
        <v>42</v>
      </c>
      <c r="AI14" s="6">
        <f t="shared" si="0"/>
        <v>26</v>
      </c>
      <c r="AJ14" s="6">
        <f t="shared" si="1"/>
        <v>0</v>
      </c>
      <c r="AK14" s="6">
        <f t="shared" si="2"/>
        <v>0</v>
      </c>
      <c r="AL14" s="6">
        <f t="shared" si="3"/>
        <v>0</v>
      </c>
      <c r="AM14" s="6">
        <f t="shared" si="4"/>
        <v>0</v>
      </c>
      <c r="AN14" s="6">
        <f t="shared" si="5"/>
        <v>4</v>
      </c>
      <c r="AO14" s="6">
        <f>'03_Roster'!AJ14</f>
        <v>0</v>
      </c>
      <c r="AP14" s="6">
        <f t="shared" si="6"/>
        <v>1</v>
      </c>
    </row>
    <row r="15" spans="1:42" ht="18" customHeight="1" x14ac:dyDescent="0.3">
      <c r="A15" s="7" t="str">
        <f>'02_Employee_Master'!A13</f>
        <v>PL-008</v>
      </c>
      <c r="B15" s="4" t="str">
        <f>'02_Employee_Master'!B13</f>
        <v>Karan Malhotra</v>
      </c>
      <c r="C15" s="4" t="str">
        <f>'02_Employee_Master'!D13</f>
        <v>Microbiology</v>
      </c>
      <c r="D15" s="4" t="str">
        <f>'02_Employee_Master'!C13</f>
        <v>Lab Technologist</v>
      </c>
      <c r="E15" s="14" t="s">
        <v>42</v>
      </c>
      <c r="F15" s="14" t="s">
        <v>42</v>
      </c>
      <c r="G15" s="14" t="s">
        <v>42</v>
      </c>
      <c r="H15" s="14" t="s">
        <v>42</v>
      </c>
      <c r="I15" s="14" t="s">
        <v>42</v>
      </c>
      <c r="J15" s="14" t="s">
        <v>42</v>
      </c>
      <c r="K15" s="14" t="s">
        <v>60</v>
      </c>
      <c r="L15" s="14" t="s">
        <v>42</v>
      </c>
      <c r="M15" s="14" t="s">
        <v>42</v>
      </c>
      <c r="N15" s="14" t="s">
        <v>42</v>
      </c>
      <c r="O15" s="14" t="s">
        <v>42</v>
      </c>
      <c r="P15" s="14" t="s">
        <v>42</v>
      </c>
      <c r="Q15" s="14" t="s">
        <v>42</v>
      </c>
      <c r="R15" s="14" t="s">
        <v>60</v>
      </c>
      <c r="S15" s="14" t="s">
        <v>42</v>
      </c>
      <c r="T15" s="14" t="s">
        <v>42</v>
      </c>
      <c r="U15" s="14" t="s">
        <v>42</v>
      </c>
      <c r="V15" s="14" t="s">
        <v>42</v>
      </c>
      <c r="W15" s="14" t="s">
        <v>42</v>
      </c>
      <c r="X15" s="14" t="s">
        <v>42</v>
      </c>
      <c r="Y15" s="14" t="s">
        <v>60</v>
      </c>
      <c r="Z15" s="14" t="s">
        <v>42</v>
      </c>
      <c r="AA15" s="14" t="s">
        <v>42</v>
      </c>
      <c r="AB15" s="14" t="s">
        <v>42</v>
      </c>
      <c r="AC15" s="14" t="s">
        <v>42</v>
      </c>
      <c r="AD15" s="14" t="s">
        <v>42</v>
      </c>
      <c r="AE15" s="14" t="s">
        <v>42</v>
      </c>
      <c r="AF15" s="14" t="s">
        <v>60</v>
      </c>
      <c r="AG15" s="14" t="s">
        <v>42</v>
      </c>
      <c r="AH15" s="14" t="s">
        <v>42</v>
      </c>
      <c r="AI15" s="6">
        <f t="shared" si="0"/>
        <v>26</v>
      </c>
      <c r="AJ15" s="6">
        <f t="shared" si="1"/>
        <v>0</v>
      </c>
      <c r="AK15" s="6">
        <f t="shared" si="2"/>
        <v>0</v>
      </c>
      <c r="AL15" s="6">
        <f t="shared" si="3"/>
        <v>0</v>
      </c>
      <c r="AM15" s="6">
        <f t="shared" si="4"/>
        <v>0</v>
      </c>
      <c r="AN15" s="6">
        <f t="shared" si="5"/>
        <v>4</v>
      </c>
      <c r="AO15" s="6">
        <f>'03_Roster'!AJ15</f>
        <v>0</v>
      </c>
      <c r="AP15" s="6">
        <f t="shared" si="6"/>
        <v>1</v>
      </c>
    </row>
    <row r="16" spans="1:42" ht="18" customHeight="1" x14ac:dyDescent="0.3">
      <c r="A16" s="7" t="str">
        <f>'02_Employee_Master'!A14</f>
        <v>PL-009</v>
      </c>
      <c r="B16" s="4" t="str">
        <f>'02_Employee_Master'!B14</f>
        <v>Pooja Sharma</v>
      </c>
      <c r="C16" s="4" t="str">
        <f>'02_Employee_Master'!D14</f>
        <v>Histopathology</v>
      </c>
      <c r="D16" s="4" t="str">
        <f>'02_Employee_Master'!C14</f>
        <v>Lab Assistant</v>
      </c>
      <c r="E16" s="14" t="s">
        <v>42</v>
      </c>
      <c r="F16" s="14" t="s">
        <v>60</v>
      </c>
      <c r="G16" s="14" t="s">
        <v>42</v>
      </c>
      <c r="H16" s="14" t="s">
        <v>42</v>
      </c>
      <c r="I16" s="14" t="s">
        <v>42</v>
      </c>
      <c r="J16" s="14" t="s">
        <v>42</v>
      </c>
      <c r="K16" s="14" t="s">
        <v>42</v>
      </c>
      <c r="L16" s="14" t="s">
        <v>42</v>
      </c>
      <c r="M16" s="14" t="s">
        <v>60</v>
      </c>
      <c r="N16" s="14" t="s">
        <v>42</v>
      </c>
      <c r="O16" s="14" t="s">
        <v>42</v>
      </c>
      <c r="P16" s="14" t="s">
        <v>42</v>
      </c>
      <c r="Q16" s="14" t="s">
        <v>42</v>
      </c>
      <c r="R16" s="14" t="s">
        <v>56</v>
      </c>
      <c r="S16" s="14" t="s">
        <v>42</v>
      </c>
      <c r="T16" s="14" t="s">
        <v>60</v>
      </c>
      <c r="U16" s="14" t="s">
        <v>42</v>
      </c>
      <c r="V16" s="14" t="s">
        <v>42</v>
      </c>
      <c r="W16" s="14" t="s">
        <v>42</v>
      </c>
      <c r="X16" s="14" t="s">
        <v>42</v>
      </c>
      <c r="Y16" s="14" t="s">
        <v>42</v>
      </c>
      <c r="Z16" s="14" t="s">
        <v>42</v>
      </c>
      <c r="AA16" s="14" t="s">
        <v>60</v>
      </c>
      <c r="AB16" s="14" t="s">
        <v>42</v>
      </c>
      <c r="AC16" s="14" t="s">
        <v>42</v>
      </c>
      <c r="AD16" s="14" t="s">
        <v>42</v>
      </c>
      <c r="AE16" s="14" t="s">
        <v>42</v>
      </c>
      <c r="AF16" s="14" t="s">
        <v>42</v>
      </c>
      <c r="AG16" s="14" t="s">
        <v>42</v>
      </c>
      <c r="AH16" s="14" t="s">
        <v>60</v>
      </c>
      <c r="AI16" s="6">
        <f t="shared" si="0"/>
        <v>25</v>
      </c>
      <c r="AJ16" s="6">
        <f t="shared" si="1"/>
        <v>0</v>
      </c>
      <c r="AK16" s="6">
        <f t="shared" si="2"/>
        <v>1</v>
      </c>
      <c r="AL16" s="6">
        <f t="shared" si="3"/>
        <v>0</v>
      </c>
      <c r="AM16" s="6">
        <f t="shared" si="4"/>
        <v>0</v>
      </c>
      <c r="AN16" s="6">
        <f t="shared" si="5"/>
        <v>5</v>
      </c>
      <c r="AO16" s="6">
        <f>'03_Roster'!AJ16</f>
        <v>0</v>
      </c>
      <c r="AP16" s="6">
        <f t="shared" si="6"/>
        <v>1</v>
      </c>
    </row>
    <row r="17" spans="1:42" ht="18" customHeight="1" x14ac:dyDescent="0.3">
      <c r="A17" s="7" t="str">
        <f>'02_Employee_Master'!A15</f>
        <v>PL-010</v>
      </c>
      <c r="B17" s="4" t="str">
        <f>'02_Employee_Master'!B15</f>
        <v>Mohammed Irfan</v>
      </c>
      <c r="C17" s="4" t="str">
        <f>'02_Employee_Master'!D15</f>
        <v>Phlebotomy</v>
      </c>
      <c r="D17" s="4" t="str">
        <f>'02_Employee_Master'!C15</f>
        <v>Phlebotomist</v>
      </c>
      <c r="E17" s="14" t="s">
        <v>42</v>
      </c>
      <c r="F17" s="14" t="s">
        <v>42</v>
      </c>
      <c r="G17" s="14" t="s">
        <v>42</v>
      </c>
      <c r="H17" s="14" t="s">
        <v>60</v>
      </c>
      <c r="I17" s="14" t="s">
        <v>42</v>
      </c>
      <c r="J17" s="14" t="s">
        <v>42</v>
      </c>
      <c r="K17" s="14" t="s">
        <v>42</v>
      </c>
      <c r="L17" s="14" t="s">
        <v>42</v>
      </c>
      <c r="M17" s="14" t="s">
        <v>42</v>
      </c>
      <c r="N17" s="14" t="s">
        <v>42</v>
      </c>
      <c r="O17" s="14" t="s">
        <v>60</v>
      </c>
      <c r="P17" s="14" t="s">
        <v>42</v>
      </c>
      <c r="Q17" s="14" t="s">
        <v>42</v>
      </c>
      <c r="R17" s="14" t="s">
        <v>42</v>
      </c>
      <c r="S17" s="14" t="s">
        <v>42</v>
      </c>
      <c r="T17" s="14" t="s">
        <v>42</v>
      </c>
      <c r="U17" s="14" t="s">
        <v>42</v>
      </c>
      <c r="V17" s="14" t="s">
        <v>60</v>
      </c>
      <c r="W17" s="14" t="s">
        <v>42</v>
      </c>
      <c r="X17" s="14" t="s">
        <v>42</v>
      </c>
      <c r="Y17" s="14" t="s">
        <v>42</v>
      </c>
      <c r="Z17" s="14" t="s">
        <v>42</v>
      </c>
      <c r="AA17" s="14" t="s">
        <v>42</v>
      </c>
      <c r="AB17" s="14" t="s">
        <v>42</v>
      </c>
      <c r="AC17" s="14" t="s">
        <v>60</v>
      </c>
      <c r="AD17" s="14" t="s">
        <v>42</v>
      </c>
      <c r="AE17" s="14" t="s">
        <v>42</v>
      </c>
      <c r="AF17" s="14" t="s">
        <v>42</v>
      </c>
      <c r="AG17" s="14" t="s">
        <v>42</v>
      </c>
      <c r="AH17" s="14" t="s">
        <v>42</v>
      </c>
      <c r="AI17" s="6">
        <f t="shared" si="0"/>
        <v>26</v>
      </c>
      <c r="AJ17" s="6">
        <f t="shared" si="1"/>
        <v>0</v>
      </c>
      <c r="AK17" s="6">
        <f t="shared" si="2"/>
        <v>0</v>
      </c>
      <c r="AL17" s="6">
        <f t="shared" si="3"/>
        <v>0</v>
      </c>
      <c r="AM17" s="6">
        <f t="shared" si="4"/>
        <v>0</v>
      </c>
      <c r="AN17" s="6">
        <f t="shared" si="5"/>
        <v>4</v>
      </c>
      <c r="AO17" s="6">
        <f>'03_Roster'!AJ17</f>
        <v>0</v>
      </c>
      <c r="AP17" s="6">
        <f t="shared" si="6"/>
        <v>1</v>
      </c>
    </row>
    <row r="18" spans="1:42" ht="18" customHeight="1" x14ac:dyDescent="0.3">
      <c r="A18" s="7" t="str">
        <f>'02_Employee_Master'!A16</f>
        <v>PL-011</v>
      </c>
      <c r="B18" s="4" t="str">
        <f>'02_Employee_Master'!B16</f>
        <v>Lakshmi Devi</v>
      </c>
      <c r="C18" s="4" t="str">
        <f>'02_Employee_Master'!D16</f>
        <v>Phlebotomy</v>
      </c>
      <c r="D18" s="4" t="str">
        <f>'02_Employee_Master'!C16</f>
        <v>Phlebotomist</v>
      </c>
      <c r="E18" s="14" t="s">
        <v>42</v>
      </c>
      <c r="F18" s="14" t="s">
        <v>42</v>
      </c>
      <c r="G18" s="14" t="s">
        <v>42</v>
      </c>
      <c r="H18" s="14" t="s">
        <v>42</v>
      </c>
      <c r="I18" s="14" t="s">
        <v>42</v>
      </c>
      <c r="J18" s="14" t="s">
        <v>60</v>
      </c>
      <c r="K18" s="14" t="s">
        <v>42</v>
      </c>
      <c r="L18" s="14" t="s">
        <v>42</v>
      </c>
      <c r="M18" s="14" t="s">
        <v>42</v>
      </c>
      <c r="N18" s="14" t="s">
        <v>42</v>
      </c>
      <c r="O18" s="14" t="s">
        <v>42</v>
      </c>
      <c r="P18" s="14" t="s">
        <v>42</v>
      </c>
      <c r="Q18" s="14" t="s">
        <v>60</v>
      </c>
      <c r="R18" s="14" t="s">
        <v>42</v>
      </c>
      <c r="S18" s="14" t="s">
        <v>42</v>
      </c>
      <c r="T18" s="14" t="s">
        <v>42</v>
      </c>
      <c r="U18" s="14" t="s">
        <v>42</v>
      </c>
      <c r="V18" s="14" t="s">
        <v>42</v>
      </c>
      <c r="W18" s="14" t="s">
        <v>42</v>
      </c>
      <c r="X18" s="14" t="s">
        <v>60</v>
      </c>
      <c r="Y18" s="14" t="s">
        <v>42</v>
      </c>
      <c r="Z18" s="14" t="s">
        <v>42</v>
      </c>
      <c r="AA18" s="14" t="s">
        <v>42</v>
      </c>
      <c r="AB18" s="14" t="s">
        <v>42</v>
      </c>
      <c r="AC18" s="14" t="s">
        <v>42</v>
      </c>
      <c r="AD18" s="14" t="s">
        <v>42</v>
      </c>
      <c r="AE18" s="14" t="s">
        <v>60</v>
      </c>
      <c r="AF18" s="14" t="s">
        <v>42</v>
      </c>
      <c r="AG18" s="14" t="s">
        <v>42</v>
      </c>
      <c r="AH18" s="14" t="s">
        <v>42</v>
      </c>
      <c r="AI18" s="6">
        <f t="shared" si="0"/>
        <v>26</v>
      </c>
      <c r="AJ18" s="6">
        <f t="shared" si="1"/>
        <v>0</v>
      </c>
      <c r="AK18" s="6">
        <f t="shared" si="2"/>
        <v>0</v>
      </c>
      <c r="AL18" s="6">
        <f t="shared" si="3"/>
        <v>0</v>
      </c>
      <c r="AM18" s="6">
        <f t="shared" si="4"/>
        <v>0</v>
      </c>
      <c r="AN18" s="6">
        <f t="shared" si="5"/>
        <v>4</v>
      </c>
      <c r="AO18" s="6">
        <f>'03_Roster'!AJ18</f>
        <v>0</v>
      </c>
      <c r="AP18" s="6">
        <f t="shared" si="6"/>
        <v>1</v>
      </c>
    </row>
    <row r="19" spans="1:42" ht="18" customHeight="1" x14ac:dyDescent="0.3">
      <c r="A19" s="7" t="str">
        <f>'02_Employee_Master'!A17</f>
        <v>PL-012</v>
      </c>
      <c r="B19" s="4" t="str">
        <f>'02_Employee_Master'!B17</f>
        <v>Suresh Kumar</v>
      </c>
      <c r="C19" s="4" t="str">
        <f>'02_Employee_Master'!D17</f>
        <v>Sample Receiving</v>
      </c>
      <c r="D19" s="4" t="str">
        <f>'02_Employee_Master'!C17</f>
        <v>Lab Assistant</v>
      </c>
      <c r="E19" s="14" t="s">
        <v>60</v>
      </c>
      <c r="F19" s="14" t="s">
        <v>42</v>
      </c>
      <c r="G19" s="14" t="s">
        <v>42</v>
      </c>
      <c r="H19" s="14" t="s">
        <v>42</v>
      </c>
      <c r="I19" s="14" t="s">
        <v>42</v>
      </c>
      <c r="J19" s="14" t="s">
        <v>42</v>
      </c>
      <c r="K19" s="14" t="s">
        <v>42</v>
      </c>
      <c r="L19" s="14" t="s">
        <v>60</v>
      </c>
      <c r="M19" s="14" t="s">
        <v>42</v>
      </c>
      <c r="N19" s="14" t="s">
        <v>42</v>
      </c>
      <c r="O19" s="14" t="s">
        <v>42</v>
      </c>
      <c r="P19" s="14" t="s">
        <v>42</v>
      </c>
      <c r="Q19" s="14" t="s">
        <v>42</v>
      </c>
      <c r="R19" s="14" t="s">
        <v>42</v>
      </c>
      <c r="S19" s="14" t="s">
        <v>60</v>
      </c>
      <c r="T19" s="14" t="s">
        <v>42</v>
      </c>
      <c r="U19" s="14" t="s">
        <v>42</v>
      </c>
      <c r="V19" s="14" t="s">
        <v>42</v>
      </c>
      <c r="W19" s="14" t="s">
        <v>42</v>
      </c>
      <c r="X19" s="14" t="s">
        <v>63</v>
      </c>
      <c r="Y19" s="14" t="s">
        <v>42</v>
      </c>
      <c r="Z19" s="14" t="s">
        <v>60</v>
      </c>
      <c r="AA19" s="14" t="s">
        <v>42</v>
      </c>
      <c r="AB19" s="14" t="s">
        <v>42</v>
      </c>
      <c r="AC19" s="14" t="s">
        <v>42</v>
      </c>
      <c r="AD19" s="14" t="s">
        <v>42</v>
      </c>
      <c r="AE19" s="14" t="s">
        <v>42</v>
      </c>
      <c r="AF19" s="14" t="s">
        <v>42</v>
      </c>
      <c r="AG19" s="14" t="s">
        <v>60</v>
      </c>
      <c r="AH19" s="14" t="s">
        <v>42</v>
      </c>
      <c r="AI19" s="6">
        <f t="shared" si="0"/>
        <v>24</v>
      </c>
      <c r="AJ19" s="6">
        <f t="shared" si="1"/>
        <v>0</v>
      </c>
      <c r="AK19" s="6">
        <f t="shared" si="2"/>
        <v>0</v>
      </c>
      <c r="AL19" s="6">
        <f t="shared" si="3"/>
        <v>1</v>
      </c>
      <c r="AM19" s="6">
        <f t="shared" si="4"/>
        <v>0</v>
      </c>
      <c r="AN19" s="6">
        <f t="shared" si="5"/>
        <v>5</v>
      </c>
      <c r="AO19" s="6">
        <f>'03_Roster'!AJ19</f>
        <v>0</v>
      </c>
      <c r="AP19" s="6">
        <f t="shared" si="6"/>
        <v>0.98</v>
      </c>
    </row>
    <row r="20" spans="1:42" ht="18" customHeight="1" x14ac:dyDescent="0.3">
      <c r="A20" s="7" t="str">
        <f>'02_Employee_Master'!A18</f>
        <v>PL-013</v>
      </c>
      <c r="B20" s="4" t="str">
        <f>'02_Employee_Master'!B18</f>
        <v>Nisha Gupta</v>
      </c>
      <c r="C20" s="4" t="str">
        <f>'02_Employee_Master'!D18</f>
        <v>Quality Assurance</v>
      </c>
      <c r="D20" s="4" t="str">
        <f>'02_Employee_Master'!C18</f>
        <v>QA Officer</v>
      </c>
      <c r="E20" s="14" t="s">
        <v>56</v>
      </c>
      <c r="F20" s="14" t="s">
        <v>42</v>
      </c>
      <c r="G20" s="14" t="s">
        <v>60</v>
      </c>
      <c r="H20" s="14" t="s">
        <v>42</v>
      </c>
      <c r="I20" s="14" t="s">
        <v>42</v>
      </c>
      <c r="J20" s="14" t="s">
        <v>42</v>
      </c>
      <c r="K20" s="14" t="s">
        <v>42</v>
      </c>
      <c r="L20" s="14" t="s">
        <v>42</v>
      </c>
      <c r="M20" s="14" t="s">
        <v>42</v>
      </c>
      <c r="N20" s="14" t="s">
        <v>60</v>
      </c>
      <c r="O20" s="14" t="s">
        <v>42</v>
      </c>
      <c r="P20" s="14" t="s">
        <v>42</v>
      </c>
      <c r="Q20" s="14" t="s">
        <v>42</v>
      </c>
      <c r="R20" s="14" t="s">
        <v>42</v>
      </c>
      <c r="S20" s="14" t="s">
        <v>42</v>
      </c>
      <c r="T20" s="14" t="s">
        <v>42</v>
      </c>
      <c r="U20" s="14" t="s">
        <v>60</v>
      </c>
      <c r="V20" s="14" t="s">
        <v>42</v>
      </c>
      <c r="W20" s="14" t="s">
        <v>42</v>
      </c>
      <c r="X20" s="14" t="s">
        <v>42</v>
      </c>
      <c r="Y20" s="14" t="s">
        <v>42</v>
      </c>
      <c r="Z20" s="14" t="s">
        <v>42</v>
      </c>
      <c r="AA20" s="14" t="s">
        <v>42</v>
      </c>
      <c r="AB20" s="14" t="s">
        <v>60</v>
      </c>
      <c r="AC20" s="14" t="s">
        <v>42</v>
      </c>
      <c r="AD20" s="14" t="s">
        <v>42</v>
      </c>
      <c r="AE20" s="14" t="s">
        <v>42</v>
      </c>
      <c r="AF20" s="14" t="s">
        <v>42</v>
      </c>
      <c r="AG20" s="14" t="s">
        <v>42</v>
      </c>
      <c r="AH20" s="14" t="s">
        <v>42</v>
      </c>
      <c r="AI20" s="6">
        <f t="shared" si="0"/>
        <v>26</v>
      </c>
      <c r="AJ20" s="6">
        <f t="shared" si="1"/>
        <v>0</v>
      </c>
      <c r="AK20" s="6">
        <f t="shared" si="2"/>
        <v>1</v>
      </c>
      <c r="AL20" s="6">
        <f t="shared" si="3"/>
        <v>0</v>
      </c>
      <c r="AM20" s="6">
        <f t="shared" si="4"/>
        <v>0</v>
      </c>
      <c r="AN20" s="6">
        <f t="shared" si="5"/>
        <v>4</v>
      </c>
      <c r="AO20" s="6">
        <f>'03_Roster'!AJ20</f>
        <v>0</v>
      </c>
      <c r="AP20" s="6">
        <f t="shared" si="6"/>
        <v>1</v>
      </c>
    </row>
    <row r="21" spans="1:42" ht="18" customHeight="1" x14ac:dyDescent="0.3">
      <c r="A21" s="7" t="str">
        <f>'02_Employee_Master'!A19</f>
        <v>PL-014</v>
      </c>
      <c r="B21" s="4" t="str">
        <f>'02_Employee_Master'!B19</f>
        <v>Deepak Joshi</v>
      </c>
      <c r="C21" s="4" t="str">
        <f>'02_Employee_Master'!D19</f>
        <v>Hematology</v>
      </c>
      <c r="D21" s="4" t="str">
        <f>'02_Employee_Master'!C19</f>
        <v>Lab Technologist</v>
      </c>
      <c r="E21" s="14" t="s">
        <v>42</v>
      </c>
      <c r="F21" s="14" t="s">
        <v>42</v>
      </c>
      <c r="G21" s="14" t="s">
        <v>42</v>
      </c>
      <c r="H21" s="14" t="s">
        <v>42</v>
      </c>
      <c r="I21" s="14" t="s">
        <v>60</v>
      </c>
      <c r="J21" s="14" t="s">
        <v>42</v>
      </c>
      <c r="K21" s="14" t="s">
        <v>42</v>
      </c>
      <c r="L21" s="14" t="s">
        <v>42</v>
      </c>
      <c r="M21" s="14" t="s">
        <v>42</v>
      </c>
      <c r="N21" s="14" t="s">
        <v>42</v>
      </c>
      <c r="O21" s="14" t="s">
        <v>42</v>
      </c>
      <c r="P21" s="14" t="s">
        <v>60</v>
      </c>
      <c r="Q21" s="14" t="s">
        <v>42</v>
      </c>
      <c r="R21" s="14" t="s">
        <v>42</v>
      </c>
      <c r="S21" s="14" t="s">
        <v>42</v>
      </c>
      <c r="T21" s="14" t="s">
        <v>42</v>
      </c>
      <c r="U21" s="14" t="s">
        <v>42</v>
      </c>
      <c r="V21" s="14" t="s">
        <v>42</v>
      </c>
      <c r="W21" s="14" t="s">
        <v>60</v>
      </c>
      <c r="X21" s="14" t="s">
        <v>42</v>
      </c>
      <c r="Y21" s="14" t="s">
        <v>42</v>
      </c>
      <c r="Z21" s="14" t="s">
        <v>56</v>
      </c>
      <c r="AA21" s="14" t="s">
        <v>42</v>
      </c>
      <c r="AB21" s="14" t="s">
        <v>42</v>
      </c>
      <c r="AC21" s="14" t="s">
        <v>42</v>
      </c>
      <c r="AD21" s="14" t="s">
        <v>60</v>
      </c>
      <c r="AE21" s="14" t="s">
        <v>42</v>
      </c>
      <c r="AF21" s="14" t="s">
        <v>42</v>
      </c>
      <c r="AG21" s="14" t="s">
        <v>42</v>
      </c>
      <c r="AH21" s="14" t="s">
        <v>42</v>
      </c>
      <c r="AI21" s="6">
        <f t="shared" si="0"/>
        <v>26</v>
      </c>
      <c r="AJ21" s="6">
        <f t="shared" si="1"/>
        <v>0</v>
      </c>
      <c r="AK21" s="6">
        <f t="shared" si="2"/>
        <v>1</v>
      </c>
      <c r="AL21" s="6">
        <f t="shared" si="3"/>
        <v>0</v>
      </c>
      <c r="AM21" s="6">
        <f t="shared" si="4"/>
        <v>0</v>
      </c>
      <c r="AN21" s="6">
        <f t="shared" si="5"/>
        <v>4</v>
      </c>
      <c r="AO21" s="6">
        <f>'03_Roster'!AJ21</f>
        <v>0</v>
      </c>
      <c r="AP21" s="6">
        <f t="shared" si="6"/>
        <v>1</v>
      </c>
    </row>
    <row r="22" spans="1:42" ht="18" customHeight="1" x14ac:dyDescent="0.3">
      <c r="A22" s="7" t="str">
        <f>'02_Employee_Master'!A20</f>
        <v>PL-015</v>
      </c>
      <c r="B22" s="4" t="str">
        <f>'02_Employee_Master'!B20</f>
        <v>Anjali Verma</v>
      </c>
      <c r="C22" s="4" t="str">
        <f>'02_Employee_Master'!D20</f>
        <v>Administration</v>
      </c>
      <c r="D22" s="4" t="str">
        <f>'02_Employee_Master'!C20</f>
        <v>Receptionist</v>
      </c>
      <c r="E22" s="14" t="s">
        <v>42</v>
      </c>
      <c r="F22" s="14" t="s">
        <v>42</v>
      </c>
      <c r="G22" s="14" t="s">
        <v>42</v>
      </c>
      <c r="H22" s="14" t="s">
        <v>42</v>
      </c>
      <c r="I22" s="14" t="s">
        <v>42</v>
      </c>
      <c r="J22" s="14" t="s">
        <v>42</v>
      </c>
      <c r="K22" s="14" t="s">
        <v>60</v>
      </c>
      <c r="L22" s="14" t="s">
        <v>42</v>
      </c>
      <c r="M22" s="14" t="s">
        <v>89</v>
      </c>
      <c r="N22" s="14" t="s">
        <v>42</v>
      </c>
      <c r="O22" s="14" t="s">
        <v>42</v>
      </c>
      <c r="P22" s="14" t="s">
        <v>42</v>
      </c>
      <c r="Q22" s="14" t="s">
        <v>42</v>
      </c>
      <c r="R22" s="14" t="s">
        <v>60</v>
      </c>
      <c r="S22" s="14" t="s">
        <v>42</v>
      </c>
      <c r="T22" s="14" t="s">
        <v>42</v>
      </c>
      <c r="U22" s="14" t="s">
        <v>42</v>
      </c>
      <c r="V22" s="14" t="s">
        <v>42</v>
      </c>
      <c r="W22" s="14" t="s">
        <v>42</v>
      </c>
      <c r="X22" s="14" t="s">
        <v>42</v>
      </c>
      <c r="Y22" s="14" t="s">
        <v>60</v>
      </c>
      <c r="Z22" s="14" t="s">
        <v>42</v>
      </c>
      <c r="AA22" s="14" t="s">
        <v>42</v>
      </c>
      <c r="AB22" s="14" t="s">
        <v>42</v>
      </c>
      <c r="AC22" s="14" t="s">
        <v>42</v>
      </c>
      <c r="AD22" s="14" t="s">
        <v>42</v>
      </c>
      <c r="AE22" s="14" t="s">
        <v>42</v>
      </c>
      <c r="AF22" s="14" t="s">
        <v>60</v>
      </c>
      <c r="AG22" s="14" t="s">
        <v>42</v>
      </c>
      <c r="AH22" s="14" t="s">
        <v>42</v>
      </c>
      <c r="AI22" s="6">
        <f t="shared" si="0"/>
        <v>25</v>
      </c>
      <c r="AJ22" s="6">
        <f t="shared" si="1"/>
        <v>0</v>
      </c>
      <c r="AK22" s="6">
        <f t="shared" si="2"/>
        <v>0</v>
      </c>
      <c r="AL22" s="6">
        <f t="shared" si="3"/>
        <v>0</v>
      </c>
      <c r="AM22" s="6">
        <f t="shared" si="4"/>
        <v>1</v>
      </c>
      <c r="AN22" s="6">
        <f t="shared" si="5"/>
        <v>4</v>
      </c>
      <c r="AO22" s="6">
        <f>'03_Roster'!AJ22</f>
        <v>0</v>
      </c>
      <c r="AP22" s="6">
        <f t="shared" si="6"/>
        <v>0.96153846153846156</v>
      </c>
    </row>
    <row r="23" spans="1:42" ht="18" customHeight="1" x14ac:dyDescent="0.3">
      <c r="A23" s="7" t="str">
        <f>'02_Employee_Master'!A21</f>
        <v>PL-016</v>
      </c>
      <c r="B23" s="4" t="str">
        <f>'02_Employee_Master'!B21</f>
        <v>Ravi Teja</v>
      </c>
      <c r="C23" s="4" t="str">
        <f>'02_Employee_Master'!D21</f>
        <v>Biochemistry</v>
      </c>
      <c r="D23" s="4" t="str">
        <f>'02_Employee_Master'!C21</f>
        <v>Lab Technologist</v>
      </c>
      <c r="E23" s="14" t="s">
        <v>42</v>
      </c>
      <c r="F23" s="14" t="s">
        <v>60</v>
      </c>
      <c r="G23" s="14" t="s">
        <v>42</v>
      </c>
      <c r="H23" s="14" t="s">
        <v>42</v>
      </c>
      <c r="I23" s="14" t="s">
        <v>42</v>
      </c>
      <c r="J23" s="14" t="s">
        <v>42</v>
      </c>
      <c r="K23" s="14" t="s">
        <v>63</v>
      </c>
      <c r="L23" s="14" t="s">
        <v>42</v>
      </c>
      <c r="M23" s="14" t="s">
        <v>60</v>
      </c>
      <c r="N23" s="14" t="s">
        <v>42</v>
      </c>
      <c r="O23" s="14" t="s">
        <v>42</v>
      </c>
      <c r="P23" s="14" t="s">
        <v>42</v>
      </c>
      <c r="Q23" s="14" t="s">
        <v>42</v>
      </c>
      <c r="R23" s="14" t="s">
        <v>42</v>
      </c>
      <c r="S23" s="14" t="s">
        <v>42</v>
      </c>
      <c r="T23" s="14" t="s">
        <v>60</v>
      </c>
      <c r="U23" s="14" t="s">
        <v>42</v>
      </c>
      <c r="V23" s="14" t="s">
        <v>42</v>
      </c>
      <c r="W23" s="14" t="s">
        <v>42</v>
      </c>
      <c r="X23" s="14" t="s">
        <v>42</v>
      </c>
      <c r="Y23" s="14" t="s">
        <v>42</v>
      </c>
      <c r="Z23" s="14" t="s">
        <v>42</v>
      </c>
      <c r="AA23" s="14" t="s">
        <v>60</v>
      </c>
      <c r="AB23" s="14" t="s">
        <v>42</v>
      </c>
      <c r="AC23" s="14" t="s">
        <v>42</v>
      </c>
      <c r="AD23" s="14" t="s">
        <v>42</v>
      </c>
      <c r="AE23" s="14" t="s">
        <v>42</v>
      </c>
      <c r="AF23" s="14" t="s">
        <v>42</v>
      </c>
      <c r="AG23" s="14" t="s">
        <v>42</v>
      </c>
      <c r="AH23" s="14" t="s">
        <v>60</v>
      </c>
      <c r="AI23" s="6">
        <f t="shared" si="0"/>
        <v>24</v>
      </c>
      <c r="AJ23" s="6">
        <f t="shared" si="1"/>
        <v>0</v>
      </c>
      <c r="AK23" s="6">
        <f t="shared" si="2"/>
        <v>0</v>
      </c>
      <c r="AL23" s="6">
        <f t="shared" si="3"/>
        <v>1</v>
      </c>
      <c r="AM23" s="6">
        <f t="shared" si="4"/>
        <v>0</v>
      </c>
      <c r="AN23" s="6">
        <f t="shared" si="5"/>
        <v>5</v>
      </c>
      <c r="AO23" s="6">
        <f>'03_Roster'!AJ23</f>
        <v>0</v>
      </c>
      <c r="AP23" s="6">
        <f t="shared" si="6"/>
        <v>0.98</v>
      </c>
    </row>
    <row r="24" spans="1:42" ht="18" customHeight="1" x14ac:dyDescent="0.3">
      <c r="A24" s="7" t="str">
        <f>'02_Employee_Master'!A22</f>
        <v>PL-017</v>
      </c>
      <c r="B24" s="4" t="str">
        <f>'02_Employee_Master'!B22</f>
        <v>Geeta Rao</v>
      </c>
      <c r="C24" s="4" t="str">
        <f>'02_Employee_Master'!D22</f>
        <v>Microbiology</v>
      </c>
      <c r="D24" s="4" t="str">
        <f>'02_Employee_Master'!C22</f>
        <v>Lab Assistant</v>
      </c>
      <c r="E24" s="14" t="s">
        <v>42</v>
      </c>
      <c r="F24" s="14" t="s">
        <v>42</v>
      </c>
      <c r="G24" s="14" t="s">
        <v>42</v>
      </c>
      <c r="H24" s="14" t="s">
        <v>60</v>
      </c>
      <c r="I24" s="14" t="s">
        <v>42</v>
      </c>
      <c r="J24" s="14" t="s">
        <v>42</v>
      </c>
      <c r="K24" s="14" t="s">
        <v>42</v>
      </c>
      <c r="L24" s="14" t="s">
        <v>42</v>
      </c>
      <c r="M24" s="14" t="s">
        <v>42</v>
      </c>
      <c r="N24" s="14" t="s">
        <v>42</v>
      </c>
      <c r="O24" s="14" t="s">
        <v>60</v>
      </c>
      <c r="P24" s="14" t="s">
        <v>42</v>
      </c>
      <c r="Q24" s="14" t="s">
        <v>42</v>
      </c>
      <c r="R24" s="14" t="s">
        <v>42</v>
      </c>
      <c r="S24" s="14" t="s">
        <v>42</v>
      </c>
      <c r="T24" s="14" t="s">
        <v>42</v>
      </c>
      <c r="U24" s="14" t="s">
        <v>42</v>
      </c>
      <c r="V24" s="14" t="s">
        <v>60</v>
      </c>
      <c r="W24" s="14" t="s">
        <v>42</v>
      </c>
      <c r="X24" s="14" t="s">
        <v>42</v>
      </c>
      <c r="Y24" s="14" t="s">
        <v>42</v>
      </c>
      <c r="Z24" s="14" t="s">
        <v>42</v>
      </c>
      <c r="AA24" s="14" t="s">
        <v>42</v>
      </c>
      <c r="AB24" s="14" t="s">
        <v>42</v>
      </c>
      <c r="AC24" s="14" t="s">
        <v>60</v>
      </c>
      <c r="AD24" s="14" t="s">
        <v>42</v>
      </c>
      <c r="AE24" s="14" t="s">
        <v>42</v>
      </c>
      <c r="AF24" s="14" t="s">
        <v>63</v>
      </c>
      <c r="AG24" s="14" t="s">
        <v>42</v>
      </c>
      <c r="AH24" s="14" t="s">
        <v>42</v>
      </c>
      <c r="AI24" s="6">
        <f t="shared" si="0"/>
        <v>25</v>
      </c>
      <c r="AJ24" s="6">
        <f t="shared" si="1"/>
        <v>0</v>
      </c>
      <c r="AK24" s="6">
        <f t="shared" si="2"/>
        <v>0</v>
      </c>
      <c r="AL24" s="6">
        <f t="shared" si="3"/>
        <v>1</v>
      </c>
      <c r="AM24" s="6">
        <f t="shared" si="4"/>
        <v>0</v>
      </c>
      <c r="AN24" s="6">
        <f t="shared" si="5"/>
        <v>4</v>
      </c>
      <c r="AO24" s="6">
        <f>'03_Roster'!AJ24</f>
        <v>0</v>
      </c>
      <c r="AP24" s="6">
        <f t="shared" si="6"/>
        <v>0.98076923076923073</v>
      </c>
    </row>
    <row r="25" spans="1:42" ht="18" customHeight="1" x14ac:dyDescent="0.3">
      <c r="A25" s="7" t="str">
        <f>'02_Employee_Master'!A23</f>
        <v>PL-018</v>
      </c>
      <c r="B25" s="4" t="str">
        <f>'02_Employee_Master'!B23</f>
        <v>Imran Sheikh</v>
      </c>
      <c r="C25" s="4" t="str">
        <f>'02_Employee_Master'!D23</f>
        <v>Phlebotomy</v>
      </c>
      <c r="D25" s="4" t="str">
        <f>'02_Employee_Master'!C23</f>
        <v>Phlebotomist</v>
      </c>
      <c r="E25" s="14" t="s">
        <v>42</v>
      </c>
      <c r="F25" s="14" t="s">
        <v>42</v>
      </c>
      <c r="G25" s="14" t="s">
        <v>42</v>
      </c>
      <c r="H25" s="14" t="s">
        <v>42</v>
      </c>
      <c r="I25" s="14" t="s">
        <v>42</v>
      </c>
      <c r="J25" s="14" t="s">
        <v>60</v>
      </c>
      <c r="K25" s="14" t="s">
        <v>42</v>
      </c>
      <c r="L25" s="14" t="s">
        <v>42</v>
      </c>
      <c r="M25" s="14" t="s">
        <v>56</v>
      </c>
      <c r="N25" s="14" t="s">
        <v>42</v>
      </c>
      <c r="O25" s="14" t="s">
        <v>42</v>
      </c>
      <c r="P25" s="14" t="s">
        <v>42</v>
      </c>
      <c r="Q25" s="14" t="s">
        <v>60</v>
      </c>
      <c r="R25" s="14" t="s">
        <v>42</v>
      </c>
      <c r="S25" s="14" t="s">
        <v>42</v>
      </c>
      <c r="T25" s="14" t="s">
        <v>42</v>
      </c>
      <c r="U25" s="14" t="s">
        <v>42</v>
      </c>
      <c r="V25" s="14" t="s">
        <v>42</v>
      </c>
      <c r="W25" s="14" t="s">
        <v>42</v>
      </c>
      <c r="X25" s="14" t="s">
        <v>60</v>
      </c>
      <c r="Y25" s="14" t="s">
        <v>42</v>
      </c>
      <c r="Z25" s="14" t="s">
        <v>42</v>
      </c>
      <c r="AA25" s="14" t="s">
        <v>42</v>
      </c>
      <c r="AB25" s="14" t="s">
        <v>42</v>
      </c>
      <c r="AC25" s="14" t="s">
        <v>42</v>
      </c>
      <c r="AD25" s="14" t="s">
        <v>42</v>
      </c>
      <c r="AE25" s="14" t="s">
        <v>60</v>
      </c>
      <c r="AF25" s="14" t="s">
        <v>42</v>
      </c>
      <c r="AG25" s="14" t="s">
        <v>42</v>
      </c>
      <c r="AH25" s="14" t="s">
        <v>42</v>
      </c>
      <c r="AI25" s="6">
        <f t="shared" si="0"/>
        <v>26</v>
      </c>
      <c r="AJ25" s="6">
        <f t="shared" si="1"/>
        <v>0</v>
      </c>
      <c r="AK25" s="6">
        <f t="shared" si="2"/>
        <v>1</v>
      </c>
      <c r="AL25" s="6">
        <f t="shared" si="3"/>
        <v>0</v>
      </c>
      <c r="AM25" s="6">
        <f t="shared" si="4"/>
        <v>0</v>
      </c>
      <c r="AN25" s="6">
        <f t="shared" si="5"/>
        <v>4</v>
      </c>
      <c r="AO25" s="6">
        <f>'03_Roster'!AJ25</f>
        <v>0</v>
      </c>
      <c r="AP25" s="6">
        <f t="shared" si="6"/>
        <v>1</v>
      </c>
    </row>
    <row r="26" spans="1:42" ht="18" customHeight="1" x14ac:dyDescent="0.3">
      <c r="A26" s="7" t="str">
        <f>'02_Employee_Master'!A24</f>
        <v>PL-019</v>
      </c>
      <c r="B26" s="4" t="str">
        <f>'02_Employee_Master'!B24</f>
        <v>Kavya Menon</v>
      </c>
      <c r="C26" s="4" t="str">
        <f>'02_Employee_Master'!D24</f>
        <v>Histopathology</v>
      </c>
      <c r="D26" s="4" t="str">
        <f>'02_Employee_Master'!C24</f>
        <v>Lab Technologist</v>
      </c>
      <c r="E26" s="14" t="s">
        <v>60</v>
      </c>
      <c r="F26" s="14" t="s">
        <v>42</v>
      </c>
      <c r="G26" s="14" t="s">
        <v>42</v>
      </c>
      <c r="H26" s="14" t="s">
        <v>42</v>
      </c>
      <c r="I26" s="14" t="s">
        <v>42</v>
      </c>
      <c r="J26" s="14" t="s">
        <v>42</v>
      </c>
      <c r="K26" s="14" t="s">
        <v>42</v>
      </c>
      <c r="L26" s="14" t="s">
        <v>60</v>
      </c>
      <c r="M26" s="14" t="s">
        <v>42</v>
      </c>
      <c r="N26" s="14" t="s">
        <v>42</v>
      </c>
      <c r="O26" s="14" t="s">
        <v>42</v>
      </c>
      <c r="P26" s="14" t="s">
        <v>42</v>
      </c>
      <c r="Q26" s="14" t="s">
        <v>42</v>
      </c>
      <c r="R26" s="14" t="s">
        <v>42</v>
      </c>
      <c r="S26" s="14" t="s">
        <v>60</v>
      </c>
      <c r="T26" s="14" t="s">
        <v>42</v>
      </c>
      <c r="U26" s="14" t="s">
        <v>42</v>
      </c>
      <c r="V26" s="14" t="s">
        <v>42</v>
      </c>
      <c r="W26" s="14" t="s">
        <v>42</v>
      </c>
      <c r="X26" s="14" t="s">
        <v>42</v>
      </c>
      <c r="Y26" s="14" t="s">
        <v>42</v>
      </c>
      <c r="Z26" s="14" t="s">
        <v>60</v>
      </c>
      <c r="AA26" s="14" t="s">
        <v>42</v>
      </c>
      <c r="AB26" s="14" t="s">
        <v>42</v>
      </c>
      <c r="AC26" s="14" t="s">
        <v>42</v>
      </c>
      <c r="AD26" s="14" t="s">
        <v>42</v>
      </c>
      <c r="AE26" s="14" t="s">
        <v>42</v>
      </c>
      <c r="AF26" s="14" t="s">
        <v>42</v>
      </c>
      <c r="AG26" s="14" t="s">
        <v>60</v>
      </c>
      <c r="AH26" s="14" t="s">
        <v>56</v>
      </c>
      <c r="AI26" s="6">
        <f t="shared" si="0"/>
        <v>25</v>
      </c>
      <c r="AJ26" s="6">
        <f t="shared" si="1"/>
        <v>0</v>
      </c>
      <c r="AK26" s="6">
        <f t="shared" si="2"/>
        <v>1</v>
      </c>
      <c r="AL26" s="6">
        <f t="shared" si="3"/>
        <v>0</v>
      </c>
      <c r="AM26" s="6">
        <f t="shared" si="4"/>
        <v>0</v>
      </c>
      <c r="AN26" s="6">
        <f t="shared" si="5"/>
        <v>5</v>
      </c>
      <c r="AO26" s="6">
        <f>'03_Roster'!AJ26</f>
        <v>0</v>
      </c>
      <c r="AP26" s="6">
        <f t="shared" si="6"/>
        <v>1</v>
      </c>
    </row>
    <row r="27" spans="1:42" ht="18" customHeight="1" x14ac:dyDescent="0.3">
      <c r="A27" s="7" t="str">
        <f>'02_Employee_Master'!A25</f>
        <v>PL-020</v>
      </c>
      <c r="B27" s="4" t="str">
        <f>'02_Employee_Master'!B25</f>
        <v>Thomas Mathew</v>
      </c>
      <c r="C27" s="4" t="str">
        <f>'02_Employee_Master'!D25</f>
        <v>Sample Receiving</v>
      </c>
      <c r="D27" s="4" t="str">
        <f>'02_Employee_Master'!C25</f>
        <v>Senior Lab Technologist</v>
      </c>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6">
        <f t="shared" si="0"/>
        <v>0</v>
      </c>
      <c r="AJ27" s="6">
        <f t="shared" si="1"/>
        <v>0</v>
      </c>
      <c r="AK27" s="6">
        <f t="shared" si="2"/>
        <v>0</v>
      </c>
      <c r="AL27" s="6">
        <f t="shared" si="3"/>
        <v>0</v>
      </c>
      <c r="AM27" s="6">
        <f t="shared" si="4"/>
        <v>0</v>
      </c>
      <c r="AN27" s="6">
        <f t="shared" si="5"/>
        <v>0</v>
      </c>
      <c r="AO27" s="6">
        <f>'03_Roster'!AJ27</f>
        <v>0</v>
      </c>
      <c r="AP27" s="6" t="str">
        <f t="shared" si="6"/>
        <v/>
      </c>
    </row>
    <row r="28" spans="1:42" x14ac:dyDescent="0.3">
      <c r="A28" s="22" t="s">
        <v>296</v>
      </c>
      <c r="B28" s="17"/>
      <c r="C28" s="17"/>
      <c r="D28" s="17"/>
      <c r="E28" s="12">
        <f t="shared" ref="E28:AH28" si="7">COUNTIF(E8:E27,"P")+COUNTIF(E8:E27,"L")+COUNTIF(E8:E27,"WFO")+COUNTIF(E8:E27,"OT")</f>
        <v>16</v>
      </c>
      <c r="F28" s="12">
        <f t="shared" si="7"/>
        <v>16</v>
      </c>
      <c r="G28" s="12">
        <f t="shared" si="7"/>
        <v>17</v>
      </c>
      <c r="H28" s="12">
        <f t="shared" si="7"/>
        <v>15</v>
      </c>
      <c r="I28" s="12">
        <f t="shared" si="7"/>
        <v>17</v>
      </c>
      <c r="J28" s="12">
        <f t="shared" si="7"/>
        <v>15</v>
      </c>
      <c r="K28" s="12">
        <f t="shared" si="7"/>
        <v>15</v>
      </c>
      <c r="L28" s="12">
        <f t="shared" si="7"/>
        <v>16</v>
      </c>
      <c r="M28" s="12">
        <f t="shared" si="7"/>
        <v>15</v>
      </c>
      <c r="N28" s="12">
        <f t="shared" si="7"/>
        <v>17</v>
      </c>
      <c r="O28" s="12">
        <f t="shared" si="7"/>
        <v>16</v>
      </c>
      <c r="P28" s="12">
        <f t="shared" si="7"/>
        <v>17</v>
      </c>
      <c r="Q28" s="12">
        <f t="shared" si="7"/>
        <v>16</v>
      </c>
      <c r="R28" s="12">
        <f t="shared" si="7"/>
        <v>16</v>
      </c>
      <c r="S28" s="12">
        <f t="shared" si="7"/>
        <v>16</v>
      </c>
      <c r="T28" s="12">
        <f t="shared" si="7"/>
        <v>16</v>
      </c>
      <c r="U28" s="12">
        <f t="shared" si="7"/>
        <v>17</v>
      </c>
      <c r="V28" s="12">
        <f t="shared" si="7"/>
        <v>16</v>
      </c>
      <c r="W28" s="12">
        <f t="shared" si="7"/>
        <v>17</v>
      </c>
      <c r="X28" s="12">
        <f t="shared" si="7"/>
        <v>15</v>
      </c>
      <c r="Y28" s="12">
        <f t="shared" si="7"/>
        <v>16</v>
      </c>
      <c r="Z28" s="12">
        <f t="shared" si="7"/>
        <v>16</v>
      </c>
      <c r="AA28" s="12">
        <f t="shared" si="7"/>
        <v>16</v>
      </c>
      <c r="AB28" s="12">
        <f t="shared" si="7"/>
        <v>17</v>
      </c>
      <c r="AC28" s="12">
        <f t="shared" si="7"/>
        <v>16</v>
      </c>
      <c r="AD28" s="12">
        <f t="shared" si="7"/>
        <v>17</v>
      </c>
      <c r="AE28" s="12">
        <f t="shared" si="7"/>
        <v>16</v>
      </c>
      <c r="AF28" s="12">
        <f t="shared" si="7"/>
        <v>15</v>
      </c>
      <c r="AG28" s="12">
        <f t="shared" si="7"/>
        <v>15</v>
      </c>
      <c r="AH28" s="12">
        <f t="shared" si="7"/>
        <v>16</v>
      </c>
    </row>
  </sheetData>
  <mergeCells count="5">
    <mergeCell ref="E5:N5"/>
    <mergeCell ref="A1:AP1"/>
    <mergeCell ref="A3:AP3"/>
    <mergeCell ref="A28:D28"/>
    <mergeCell ref="A2:AP2"/>
  </mergeCells>
  <conditionalFormatting sqref="E8:AH27">
    <cfRule type="cellIs" dxfId="19" priority="1" operator="equal">
      <formula>"P"</formula>
    </cfRule>
    <cfRule type="cellIs" dxfId="18" priority="2" operator="equal">
      <formula>"A"</formula>
    </cfRule>
    <cfRule type="cellIs" dxfId="17" priority="3" operator="equal">
      <formula>"L"</formula>
    </cfRule>
    <cfRule type="cellIs" dxfId="16" priority="4" operator="equal">
      <formula>"HD"</formula>
    </cfRule>
    <cfRule type="cellIs" dxfId="15" priority="5" operator="equal">
      <formula>"WFO"</formula>
    </cfRule>
    <cfRule type="cellIs" dxfId="14" priority="6" operator="equal">
      <formula>"PL"</formula>
    </cfRule>
    <cfRule type="cellIs" dxfId="13" priority="7" operator="equal">
      <formula>"UL"</formula>
    </cfRule>
    <cfRule type="cellIs" dxfId="12" priority="8" operator="equal">
      <formula>"VL"</formula>
    </cfRule>
    <cfRule type="cellIs" dxfId="11" priority="9" operator="equal">
      <formula>"SL"</formula>
    </cfRule>
    <cfRule type="cellIs" dxfId="10" priority="10" operator="equal">
      <formula>"H"</formula>
    </cfRule>
    <cfRule type="cellIs" dxfId="9" priority="11" operator="equal">
      <formula>"WO"</formula>
    </cfRule>
    <cfRule type="cellIs" dxfId="8" priority="12" operator="equal">
      <formula>"OT"</formula>
    </cfRule>
  </conditionalFormatting>
  <conditionalFormatting sqref="AP8:AP27">
    <cfRule type="colorScale" priority="13">
      <colorScale>
        <cfvo type="num" val="0.7"/>
        <cfvo type="num" val="0.9"/>
        <cfvo type="num" val="1"/>
        <color rgb="FFF8D7DA"/>
        <color rgb="FFFFF3CD"/>
        <color rgb="FFD4EDDA"/>
      </colorScale>
    </cfRule>
  </conditionalFormatting>
  <dataValidations count="1">
    <dataValidation type="list" allowBlank="1" promptTitle="Attendance" prompt="Select attendance status"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L8 L9 L10 L11 L12 L13 L14 L15 L16 L17 L18 L19 L20 L21 L22 L23 L24 L25 L26 L27 M8 M9 M10 M11 M12 M13 M14 M15 M16 M17 M18 M19 M20 M21 M22 M23 M24 M25 M26 M27 N8 N9 N10 N11 N12 N13 N14 N15 N16 N17 N18 N19 N20 N21 N22 N23 N24 N25 N26 N27 O8 O9 O10 O11 O12 O13 O14 O15 O16 O17 O18 O19 O20 O21 O22 O23 O24 O25 O26 O27 P8 P9 P10 P11 P12 P13 P14 P15 P16 P17 P18 P19 P20 P21 P22 P23 P24 P25 P26 P27 Q8 Q9 Q10 Q11 Q12 Q13 Q14 Q15 Q16 Q17 Q18 Q19 Q20 Q21 Q22 Q23 Q24 Q25 Q26 Q27 R8 R9 R10 R11 R12 R13 R14 R15 R16 R17 R18 R19 R20 R21 R22 R23 R24 R25 R26 R27 S8 S9 S10 S11 S12 S13 S14 S15 S16 S17 S18 S19 S20 S21 S22 S23 S24 S25 S26 S27 T8 T9 T10 T11 T12 T13 T14 T15 T16 T17 T18 T19 T20 T21 T22 T23 T24 T25 T26 T27 U8 U9 U10 U11 U12 U13 U14 U15 U16 U17 U18 U19 U20 U21 U22 U23 U24 U25 U26 U27 V8 V9 V10 V11 V12 V13 V14 V15 V16 V17 V18 V19 V20 V21 V22 V23 V24 V25 V26 V27 W8 W9 W10 W11 W12 W13 W14 W15 W16 W17 W18 W19 W20 W21 W22 W23 W24 W25 W26 W27 X8 X9 X10 X11 X12 X13 X14 X15 X16 X17 X18 X19 X20 X21 X22 X23 X24 X25 X26 X27 Y8 Y9 Y10 Y11 Y12 Y13 Y14 Y15 Y16 Y17 Y18 Y19 Y20 Y21 Y22 Y23 Y24 Y25 Y26 Y27 Z8 Z9 Z10 Z11 Z12 Z13 Z14 Z15 Z16 Z17 Z18 Z19 Z20 Z21 Z22 Z23 Z24 Z25 Z26 Z27 AA8 AA9 AA10 AA11 AA12 AA13 AA14 AA15 AA16 AA17 AA18 AA19 AA20 AA21 AA22 AA23 AA24 AA25 AA26 AA27 AB8 AB9 AB10 AB11 AB12 AB13 AB14 AB15 AB16 AB17 AB18 AB19 AB20 AB21 AB22 AB23 AB24 AB25 AB26 AB27 AC8 AC9 AC10 AC11 AC12 AC13 AC14 AC15 AC16 AC17 AC18 AC19 AC20 AC21 AC22 AC23 AC24 AC25 AC26 AC27 AD8 AD9 AD10 AD11 AD12 AD13 AD14 AD15 AD16 AD17 AD18 AD19 AD20 AD21 AD22 AD23 AD24 AD25 AD26 AD27 AE8 AE9 AE10 AE11 AE12 AE13 AE14 AE15 AE16 AE17 AE18 AE19 AE20 AE21 AE22 AE23 AE24 AE25 AE26 AE27 AF8 AF9 AF10 AF11 AF12 AF13 AF14 AF15 AF16 AF17 AF18 AF19 AF20 AF21 AF22 AF23 AF24 AF25 AF26 AF27 AG8 AG9 AG10 AG11 AG12 AG13 AG14 AG15 AG16 AG17 AG18 AG19 AG20 AG21 AG22 AG23 AG24 AG25 AG26 AG27 AH8 AH9 AH10 AH11 AH12 AH13 AH14 AH15 AH16 AH17 AH18 AH19 AH20 AH21 AH22 AH23 AH24 AH25 AH26 AH27" xr:uid="{00000000-0002-0000-0400-000000000000}">
      <formula1>"P,A,L,HD,WFO,PL,UL,VL,SL,H,WO,OT"</formula1>
    </dataValidation>
  </dataValidations>
  <pageMargins left="0.4" right="0.4" top="0.5" bottom="0.5" header="0.2" footer="0.2"/>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E35B1"/>
    <pageSetUpPr fitToPage="1"/>
  </sheetPr>
  <dimension ref="A1:O79"/>
  <sheetViews>
    <sheetView showGridLines="0" zoomScale="90" workbookViewId="0">
      <pane xSplit="3" ySplit="6" topLeftCell="D7" activePane="bottomRight" state="frozen"/>
      <selection pane="topRight"/>
      <selection pane="bottomLeft"/>
      <selection pane="bottomRight" activeCell="I30" sqref="I30"/>
    </sheetView>
  </sheetViews>
  <sheetFormatPr defaultRowHeight="14.4" x14ac:dyDescent="0.3"/>
  <cols>
    <col min="1" max="1" width="10" style="24" customWidth="1"/>
    <col min="2" max="2" width="20" style="24" customWidth="1"/>
    <col min="3" max="3" width="16" style="24" customWidth="1"/>
    <col min="4" max="4" width="18.88671875" style="24" customWidth="1"/>
    <col min="5" max="5" width="8" style="24" customWidth="1"/>
    <col min="6" max="7" width="10" style="24" customWidth="1"/>
    <col min="8" max="8" width="15.6640625" style="24" customWidth="1"/>
    <col min="9" max="9" width="23.44140625" style="24" customWidth="1"/>
    <col min="10" max="10" width="28.77734375" style="24" customWidth="1"/>
    <col min="11" max="11" width="8" style="24" customWidth="1"/>
    <col min="12" max="13" width="10" style="24" customWidth="1"/>
    <col min="14" max="14" width="8" style="24" customWidth="1"/>
    <col min="15" max="15" width="10" style="24" customWidth="1"/>
    <col min="16" max="16384" width="8.88671875" style="24"/>
  </cols>
  <sheetData>
    <row r="1" spans="1:15" ht="16.05" customHeight="1" x14ac:dyDescent="0.3">
      <c r="A1" s="36" t="s">
        <v>0</v>
      </c>
      <c r="B1" s="31"/>
      <c r="C1" s="31"/>
      <c r="D1" s="31"/>
      <c r="E1" s="31"/>
      <c r="F1" s="31"/>
      <c r="G1" s="31"/>
      <c r="H1" s="31"/>
      <c r="I1" s="31"/>
      <c r="J1" s="31"/>
      <c r="K1" s="31"/>
      <c r="L1" s="31"/>
      <c r="M1" s="31"/>
      <c r="N1" s="31"/>
    </row>
    <row r="2" spans="1:15" ht="25.95" customHeight="1" x14ac:dyDescent="0.3">
      <c r="A2" s="37" t="s">
        <v>297</v>
      </c>
      <c r="B2" s="31"/>
      <c r="C2" s="31"/>
      <c r="D2" s="31"/>
      <c r="E2" s="31"/>
      <c r="F2" s="31"/>
      <c r="G2" s="31"/>
      <c r="H2" s="31"/>
      <c r="I2" s="31"/>
      <c r="J2" s="31"/>
      <c r="K2" s="31"/>
      <c r="L2" s="31"/>
      <c r="M2" s="31"/>
      <c r="N2" s="31"/>
    </row>
    <row r="3" spans="1:15" ht="18" customHeight="1" x14ac:dyDescent="0.3">
      <c r="A3" s="38" t="s">
        <v>298</v>
      </c>
      <c r="B3" s="31"/>
      <c r="C3" s="31"/>
      <c r="D3" s="31"/>
      <c r="E3" s="31"/>
      <c r="F3" s="31"/>
      <c r="G3" s="31"/>
      <c r="H3" s="31"/>
      <c r="I3" s="31"/>
      <c r="J3" s="31"/>
      <c r="K3" s="31"/>
      <c r="L3" s="31"/>
      <c r="M3" s="31"/>
      <c r="N3" s="31"/>
    </row>
    <row r="5" spans="1:15" x14ac:dyDescent="0.3">
      <c r="A5" s="25" t="s">
        <v>299</v>
      </c>
      <c r="B5" s="25"/>
      <c r="C5" s="25"/>
      <c r="D5" s="25"/>
      <c r="E5" s="25"/>
      <c r="F5" s="25"/>
      <c r="G5" s="25"/>
      <c r="H5" s="25"/>
      <c r="I5" s="25"/>
      <c r="J5" s="25"/>
      <c r="K5" s="25"/>
      <c r="L5" s="25"/>
      <c r="M5" s="25"/>
      <c r="N5" s="25"/>
      <c r="O5" s="25"/>
    </row>
    <row r="6" spans="1:15" x14ac:dyDescent="0.3">
      <c r="A6" s="26" t="s">
        <v>275</v>
      </c>
      <c r="B6" s="26" t="s">
        <v>157</v>
      </c>
      <c r="C6" s="26" t="s">
        <v>159</v>
      </c>
      <c r="D6" s="26" t="s">
        <v>300</v>
      </c>
      <c r="E6" s="26" t="s">
        <v>301</v>
      </c>
      <c r="F6" s="26" t="s">
        <v>302</v>
      </c>
      <c r="G6" s="26" t="s">
        <v>303</v>
      </c>
      <c r="H6" s="26" t="s">
        <v>304</v>
      </c>
      <c r="I6" s="26" t="s">
        <v>305</v>
      </c>
      <c r="J6" s="26" t="s">
        <v>306</v>
      </c>
      <c r="K6" s="26" t="s">
        <v>307</v>
      </c>
      <c r="L6" s="26" t="s">
        <v>308</v>
      </c>
      <c r="M6" s="26" t="s">
        <v>309</v>
      </c>
      <c r="N6" s="26" t="s">
        <v>310</v>
      </c>
      <c r="O6" s="26" t="s">
        <v>311</v>
      </c>
    </row>
    <row r="7" spans="1:15" x14ac:dyDescent="0.3">
      <c r="A7" s="34" t="str">
        <f>'02_Employee_Master'!A6</f>
        <v>PL-001</v>
      </c>
      <c r="B7" s="28" t="str">
        <f>'02_Employee_Master'!B6</f>
        <v>Dr. Ananya Mehta</v>
      </c>
      <c r="C7" s="28" t="str">
        <f>'02_Employee_Master'!D6</f>
        <v>Histopathology</v>
      </c>
      <c r="D7" s="34">
        <f>'01_Config'!G29</f>
        <v>12</v>
      </c>
      <c r="E7" s="34">
        <f t="shared" ref="E7:E26" si="0">SUMIFS($E$30:$E$79,$A$30:$A$79,A7,$D$30:$D$79,"Planned Leave",$H$30:$H$79,"Approved")</f>
        <v>0</v>
      </c>
      <c r="F7" s="34">
        <f t="shared" ref="F7:F26" si="1">D7-E7</f>
        <v>12</v>
      </c>
      <c r="G7" s="34">
        <f>'01_Config'!G30</f>
        <v>6</v>
      </c>
      <c r="H7" s="34">
        <f t="shared" ref="H7:H26" si="2">SUMIFS($E$30:$E$79,$A$30:$A$79,A7,$D$30:$D$79,"Unplanned Leave",$H$30:$H$79,"Approved")</f>
        <v>0</v>
      </c>
      <c r="I7" s="34">
        <f t="shared" ref="I7:I26" si="3">G7-H7</f>
        <v>6</v>
      </c>
      <c r="J7" s="34">
        <f>'01_Config'!G31</f>
        <v>10</v>
      </c>
      <c r="K7" s="34">
        <f t="shared" ref="K7:K26" si="4">SUMIFS($E$30:$E$79,$A$30:$A$79,A7,$D$30:$D$79,"Sick Leave",$H$30:$H$79,"Approved")</f>
        <v>0</v>
      </c>
      <c r="L7" s="34">
        <f t="shared" ref="L7:L26" si="5">J7-K7</f>
        <v>10</v>
      </c>
      <c r="M7" s="34">
        <f>'01_Config'!G32</f>
        <v>15</v>
      </c>
      <c r="N7" s="34">
        <f t="shared" ref="N7:N26" si="6">SUMIFS($E$30:$E$79,$A$30:$A$79,A7,$D$30:$D$79,"Vacation Leave",$H$30:$H$79,"Approved")</f>
        <v>0</v>
      </c>
      <c r="O7" s="34">
        <f t="shared" ref="O7:O26" si="7">M7-N7</f>
        <v>15</v>
      </c>
    </row>
    <row r="8" spans="1:15" x14ac:dyDescent="0.3">
      <c r="A8" s="34" t="str">
        <f>'02_Employee_Master'!A7</f>
        <v>PL-002</v>
      </c>
      <c r="B8" s="28" t="str">
        <f>'02_Employee_Master'!B7</f>
        <v>Vikram Singh</v>
      </c>
      <c r="C8" s="28" t="str">
        <f>'02_Employee_Master'!D7</f>
        <v>Administration</v>
      </c>
      <c r="D8" s="34">
        <f>'01_Config'!G29</f>
        <v>12</v>
      </c>
      <c r="E8" s="34">
        <f t="shared" si="0"/>
        <v>0</v>
      </c>
      <c r="F8" s="34">
        <f t="shared" si="1"/>
        <v>12</v>
      </c>
      <c r="G8" s="34">
        <f>'01_Config'!G30</f>
        <v>6</v>
      </c>
      <c r="H8" s="34">
        <f t="shared" si="2"/>
        <v>0</v>
      </c>
      <c r="I8" s="34">
        <f t="shared" si="3"/>
        <v>6</v>
      </c>
      <c r="J8" s="34">
        <f>'01_Config'!G31</f>
        <v>10</v>
      </c>
      <c r="K8" s="34">
        <f t="shared" si="4"/>
        <v>0</v>
      </c>
      <c r="L8" s="34">
        <f t="shared" si="5"/>
        <v>10</v>
      </c>
      <c r="M8" s="34">
        <f>'01_Config'!G32</f>
        <v>15</v>
      </c>
      <c r="N8" s="34">
        <f t="shared" si="6"/>
        <v>0</v>
      </c>
      <c r="O8" s="34">
        <f t="shared" si="7"/>
        <v>15</v>
      </c>
    </row>
    <row r="9" spans="1:15" x14ac:dyDescent="0.3">
      <c r="A9" s="34" t="str">
        <f>'02_Employee_Master'!A8</f>
        <v>PL-003</v>
      </c>
      <c r="B9" s="28" t="str">
        <f>'02_Employee_Master'!B8</f>
        <v>Sneha Patel</v>
      </c>
      <c r="C9" s="28" t="str">
        <f>'02_Employee_Master'!D8</f>
        <v>Hematology</v>
      </c>
      <c r="D9" s="34">
        <f>'01_Config'!G29</f>
        <v>12</v>
      </c>
      <c r="E9" s="34">
        <f t="shared" si="0"/>
        <v>0</v>
      </c>
      <c r="F9" s="34">
        <f t="shared" si="1"/>
        <v>12</v>
      </c>
      <c r="G9" s="34">
        <f>'01_Config'!G30</f>
        <v>6</v>
      </c>
      <c r="H9" s="34">
        <f t="shared" si="2"/>
        <v>0</v>
      </c>
      <c r="I9" s="34">
        <f t="shared" si="3"/>
        <v>6</v>
      </c>
      <c r="J9" s="34">
        <f>'01_Config'!G31</f>
        <v>10</v>
      </c>
      <c r="K9" s="34">
        <f t="shared" si="4"/>
        <v>0</v>
      </c>
      <c r="L9" s="34">
        <f t="shared" si="5"/>
        <v>10</v>
      </c>
      <c r="M9" s="34">
        <f>'01_Config'!G32</f>
        <v>15</v>
      </c>
      <c r="N9" s="34">
        <f t="shared" si="6"/>
        <v>0</v>
      </c>
      <c r="O9" s="34">
        <f t="shared" si="7"/>
        <v>15</v>
      </c>
    </row>
    <row r="10" spans="1:15" x14ac:dyDescent="0.3">
      <c r="A10" s="34" t="str">
        <f>'02_Employee_Master'!A9</f>
        <v>PL-004</v>
      </c>
      <c r="B10" s="28" t="str">
        <f>'02_Employee_Master'!B9</f>
        <v>Rahul Nair</v>
      </c>
      <c r="C10" s="28" t="str">
        <f>'02_Employee_Master'!D9</f>
        <v>Hematology</v>
      </c>
      <c r="D10" s="34">
        <f>'01_Config'!G29</f>
        <v>12</v>
      </c>
      <c r="E10" s="34">
        <f t="shared" si="0"/>
        <v>2</v>
      </c>
      <c r="F10" s="34">
        <f t="shared" si="1"/>
        <v>10</v>
      </c>
      <c r="G10" s="34">
        <f>'01_Config'!G30</f>
        <v>6</v>
      </c>
      <c r="H10" s="34">
        <f t="shared" si="2"/>
        <v>0</v>
      </c>
      <c r="I10" s="34">
        <f t="shared" si="3"/>
        <v>6</v>
      </c>
      <c r="J10" s="34">
        <f>'01_Config'!G31</f>
        <v>10</v>
      </c>
      <c r="K10" s="34">
        <f t="shared" si="4"/>
        <v>0</v>
      </c>
      <c r="L10" s="34">
        <f t="shared" si="5"/>
        <v>10</v>
      </c>
      <c r="M10" s="34">
        <f>'01_Config'!G32</f>
        <v>15</v>
      </c>
      <c r="N10" s="34">
        <f t="shared" si="6"/>
        <v>0</v>
      </c>
      <c r="O10" s="34">
        <f t="shared" si="7"/>
        <v>15</v>
      </c>
    </row>
    <row r="11" spans="1:15" x14ac:dyDescent="0.3">
      <c r="A11" s="34" t="str">
        <f>'02_Employee_Master'!A10</f>
        <v>PL-005</v>
      </c>
      <c r="B11" s="28" t="str">
        <f>'02_Employee_Master'!B10</f>
        <v>Fatima Khan</v>
      </c>
      <c r="C11" s="28" t="str">
        <f>'02_Employee_Master'!D10</f>
        <v>Biochemistry</v>
      </c>
      <c r="D11" s="34">
        <f>'01_Config'!G29</f>
        <v>12</v>
      </c>
      <c r="E11" s="34">
        <f t="shared" si="0"/>
        <v>0</v>
      </c>
      <c r="F11" s="34">
        <f t="shared" si="1"/>
        <v>12</v>
      </c>
      <c r="G11" s="34">
        <f>'01_Config'!G30</f>
        <v>6</v>
      </c>
      <c r="H11" s="34">
        <f t="shared" si="2"/>
        <v>0</v>
      </c>
      <c r="I11" s="34">
        <f t="shared" si="3"/>
        <v>6</v>
      </c>
      <c r="J11" s="34">
        <f>'01_Config'!G31</f>
        <v>10</v>
      </c>
      <c r="K11" s="34">
        <f t="shared" si="4"/>
        <v>0</v>
      </c>
      <c r="L11" s="34">
        <f t="shared" si="5"/>
        <v>10</v>
      </c>
      <c r="M11" s="34">
        <f>'01_Config'!G32</f>
        <v>15</v>
      </c>
      <c r="N11" s="34">
        <f t="shared" si="6"/>
        <v>0</v>
      </c>
      <c r="O11" s="34">
        <f t="shared" si="7"/>
        <v>15</v>
      </c>
    </row>
    <row r="12" spans="1:15" x14ac:dyDescent="0.3">
      <c r="A12" s="34" t="str">
        <f>'02_Employee_Master'!A11</f>
        <v>PL-006</v>
      </c>
      <c r="B12" s="28" t="str">
        <f>'02_Employee_Master'!B11</f>
        <v>Arjun Reddy</v>
      </c>
      <c r="C12" s="28" t="str">
        <f>'02_Employee_Master'!D11</f>
        <v>Biochemistry</v>
      </c>
      <c r="D12" s="34">
        <f>'01_Config'!G29</f>
        <v>12</v>
      </c>
      <c r="E12" s="34">
        <f t="shared" si="0"/>
        <v>0</v>
      </c>
      <c r="F12" s="34">
        <f t="shared" si="1"/>
        <v>12</v>
      </c>
      <c r="G12" s="34">
        <f>'01_Config'!G30</f>
        <v>6</v>
      </c>
      <c r="H12" s="34">
        <f t="shared" si="2"/>
        <v>0</v>
      </c>
      <c r="I12" s="34">
        <f t="shared" si="3"/>
        <v>6</v>
      </c>
      <c r="J12" s="34">
        <f>'01_Config'!G31</f>
        <v>10</v>
      </c>
      <c r="K12" s="34">
        <f t="shared" si="4"/>
        <v>0</v>
      </c>
      <c r="L12" s="34">
        <f t="shared" si="5"/>
        <v>10</v>
      </c>
      <c r="M12" s="34">
        <f>'01_Config'!G32</f>
        <v>15</v>
      </c>
      <c r="N12" s="34">
        <f t="shared" si="6"/>
        <v>0</v>
      </c>
      <c r="O12" s="34">
        <f t="shared" si="7"/>
        <v>15</v>
      </c>
    </row>
    <row r="13" spans="1:15" x14ac:dyDescent="0.3">
      <c r="A13" s="34" t="str">
        <f>'02_Employee_Master'!A12</f>
        <v>PL-007</v>
      </c>
      <c r="B13" s="28" t="str">
        <f>'02_Employee_Master'!B12</f>
        <v>Meera Iyer</v>
      </c>
      <c r="C13" s="28" t="str">
        <f>'02_Employee_Master'!D12</f>
        <v>Microbiology</v>
      </c>
      <c r="D13" s="34">
        <f>'01_Config'!G29</f>
        <v>12</v>
      </c>
      <c r="E13" s="34">
        <f t="shared" si="0"/>
        <v>0</v>
      </c>
      <c r="F13" s="34">
        <f t="shared" si="1"/>
        <v>12</v>
      </c>
      <c r="G13" s="34">
        <f>'01_Config'!G30</f>
        <v>6</v>
      </c>
      <c r="H13" s="34">
        <f t="shared" si="2"/>
        <v>0</v>
      </c>
      <c r="I13" s="34">
        <f t="shared" si="3"/>
        <v>6</v>
      </c>
      <c r="J13" s="34">
        <f>'01_Config'!G31</f>
        <v>10</v>
      </c>
      <c r="K13" s="34">
        <f t="shared" si="4"/>
        <v>1</v>
      </c>
      <c r="L13" s="34">
        <f t="shared" si="5"/>
        <v>9</v>
      </c>
      <c r="M13" s="34">
        <f>'01_Config'!G32</f>
        <v>15</v>
      </c>
      <c r="N13" s="34">
        <f t="shared" si="6"/>
        <v>0</v>
      </c>
      <c r="O13" s="34">
        <f t="shared" si="7"/>
        <v>15</v>
      </c>
    </row>
    <row r="14" spans="1:15" x14ac:dyDescent="0.3">
      <c r="A14" s="34" t="str">
        <f>'02_Employee_Master'!A13</f>
        <v>PL-008</v>
      </c>
      <c r="B14" s="28" t="str">
        <f>'02_Employee_Master'!B13</f>
        <v>Karan Malhotra</v>
      </c>
      <c r="C14" s="28" t="str">
        <f>'02_Employee_Master'!D13</f>
        <v>Microbiology</v>
      </c>
      <c r="D14" s="34">
        <f>'01_Config'!G29</f>
        <v>12</v>
      </c>
      <c r="E14" s="34">
        <f t="shared" si="0"/>
        <v>0</v>
      </c>
      <c r="F14" s="34">
        <f t="shared" si="1"/>
        <v>12</v>
      </c>
      <c r="G14" s="34">
        <f>'01_Config'!G30</f>
        <v>6</v>
      </c>
      <c r="H14" s="34">
        <f t="shared" si="2"/>
        <v>0</v>
      </c>
      <c r="I14" s="34">
        <f t="shared" si="3"/>
        <v>6</v>
      </c>
      <c r="J14" s="34">
        <f>'01_Config'!G31</f>
        <v>10</v>
      </c>
      <c r="K14" s="34">
        <f t="shared" si="4"/>
        <v>0</v>
      </c>
      <c r="L14" s="34">
        <f t="shared" si="5"/>
        <v>10</v>
      </c>
      <c r="M14" s="34">
        <f>'01_Config'!G32</f>
        <v>15</v>
      </c>
      <c r="N14" s="34">
        <f t="shared" si="6"/>
        <v>0</v>
      </c>
      <c r="O14" s="34">
        <f t="shared" si="7"/>
        <v>15</v>
      </c>
    </row>
    <row r="15" spans="1:15" x14ac:dyDescent="0.3">
      <c r="A15" s="34" t="str">
        <f>'02_Employee_Master'!A14</f>
        <v>PL-009</v>
      </c>
      <c r="B15" s="28" t="str">
        <f>'02_Employee_Master'!B14</f>
        <v>Pooja Sharma</v>
      </c>
      <c r="C15" s="28" t="str">
        <f>'02_Employee_Master'!D14</f>
        <v>Histopathology</v>
      </c>
      <c r="D15" s="34">
        <f>'01_Config'!G29</f>
        <v>12</v>
      </c>
      <c r="E15" s="34">
        <f t="shared" si="0"/>
        <v>0</v>
      </c>
      <c r="F15" s="34">
        <f t="shared" si="1"/>
        <v>12</v>
      </c>
      <c r="G15" s="34">
        <f>'01_Config'!G30</f>
        <v>6</v>
      </c>
      <c r="H15" s="34">
        <f t="shared" si="2"/>
        <v>0</v>
      </c>
      <c r="I15" s="34">
        <f t="shared" si="3"/>
        <v>6</v>
      </c>
      <c r="J15" s="34">
        <f>'01_Config'!G31</f>
        <v>10</v>
      </c>
      <c r="K15" s="34">
        <f t="shared" si="4"/>
        <v>0</v>
      </c>
      <c r="L15" s="34">
        <f t="shared" si="5"/>
        <v>10</v>
      </c>
      <c r="M15" s="34">
        <f>'01_Config'!G32</f>
        <v>15</v>
      </c>
      <c r="N15" s="34">
        <f t="shared" si="6"/>
        <v>0</v>
      </c>
      <c r="O15" s="34">
        <f t="shared" si="7"/>
        <v>15</v>
      </c>
    </row>
    <row r="16" spans="1:15" x14ac:dyDescent="0.3">
      <c r="A16" s="34" t="str">
        <f>'02_Employee_Master'!A15</f>
        <v>PL-010</v>
      </c>
      <c r="B16" s="28" t="str">
        <f>'02_Employee_Master'!B15</f>
        <v>Mohammed Irfan</v>
      </c>
      <c r="C16" s="28" t="str">
        <f>'02_Employee_Master'!D15</f>
        <v>Phlebotomy</v>
      </c>
      <c r="D16" s="34">
        <f>'01_Config'!G29</f>
        <v>12</v>
      </c>
      <c r="E16" s="34">
        <f t="shared" si="0"/>
        <v>0</v>
      </c>
      <c r="F16" s="34">
        <f t="shared" si="1"/>
        <v>12</v>
      </c>
      <c r="G16" s="34">
        <f>'01_Config'!G30</f>
        <v>6</v>
      </c>
      <c r="H16" s="34">
        <f t="shared" si="2"/>
        <v>1</v>
      </c>
      <c r="I16" s="34">
        <f t="shared" si="3"/>
        <v>5</v>
      </c>
      <c r="J16" s="34">
        <f>'01_Config'!G31</f>
        <v>10</v>
      </c>
      <c r="K16" s="34">
        <f t="shared" si="4"/>
        <v>0</v>
      </c>
      <c r="L16" s="34">
        <f t="shared" si="5"/>
        <v>10</v>
      </c>
      <c r="M16" s="34">
        <f>'01_Config'!G32</f>
        <v>15</v>
      </c>
      <c r="N16" s="34">
        <f t="shared" si="6"/>
        <v>0</v>
      </c>
      <c r="O16" s="34">
        <f t="shared" si="7"/>
        <v>15</v>
      </c>
    </row>
    <row r="17" spans="1:15" x14ac:dyDescent="0.3">
      <c r="A17" s="34" t="str">
        <f>'02_Employee_Master'!A16</f>
        <v>PL-011</v>
      </c>
      <c r="B17" s="28" t="str">
        <f>'02_Employee_Master'!B16</f>
        <v>Lakshmi Devi</v>
      </c>
      <c r="C17" s="28" t="str">
        <f>'02_Employee_Master'!D16</f>
        <v>Phlebotomy</v>
      </c>
      <c r="D17" s="34">
        <f>'01_Config'!G29</f>
        <v>12</v>
      </c>
      <c r="E17" s="34">
        <f t="shared" si="0"/>
        <v>1</v>
      </c>
      <c r="F17" s="34">
        <f t="shared" si="1"/>
        <v>11</v>
      </c>
      <c r="G17" s="34">
        <f>'01_Config'!G30</f>
        <v>6</v>
      </c>
      <c r="H17" s="34">
        <f t="shared" si="2"/>
        <v>0</v>
      </c>
      <c r="I17" s="34">
        <f t="shared" si="3"/>
        <v>6</v>
      </c>
      <c r="J17" s="34">
        <f>'01_Config'!G31</f>
        <v>10</v>
      </c>
      <c r="K17" s="34">
        <f t="shared" si="4"/>
        <v>0</v>
      </c>
      <c r="L17" s="34">
        <f t="shared" si="5"/>
        <v>10</v>
      </c>
      <c r="M17" s="34">
        <f>'01_Config'!G32</f>
        <v>15</v>
      </c>
      <c r="N17" s="34">
        <f t="shared" si="6"/>
        <v>0</v>
      </c>
      <c r="O17" s="34">
        <f t="shared" si="7"/>
        <v>15</v>
      </c>
    </row>
    <row r="18" spans="1:15" x14ac:dyDescent="0.3">
      <c r="A18" s="34" t="str">
        <f>'02_Employee_Master'!A17</f>
        <v>PL-012</v>
      </c>
      <c r="B18" s="28" t="str">
        <f>'02_Employee_Master'!B17</f>
        <v>Suresh Kumar</v>
      </c>
      <c r="C18" s="28" t="str">
        <f>'02_Employee_Master'!D17</f>
        <v>Sample Receiving</v>
      </c>
      <c r="D18" s="34">
        <f>'01_Config'!G29</f>
        <v>12</v>
      </c>
      <c r="E18" s="34">
        <f t="shared" si="0"/>
        <v>0</v>
      </c>
      <c r="F18" s="34">
        <f t="shared" si="1"/>
        <v>12</v>
      </c>
      <c r="G18" s="34">
        <f>'01_Config'!G30</f>
        <v>6</v>
      </c>
      <c r="H18" s="34">
        <f t="shared" si="2"/>
        <v>0</v>
      </c>
      <c r="I18" s="34">
        <f t="shared" si="3"/>
        <v>6</v>
      </c>
      <c r="J18" s="34">
        <f>'01_Config'!G31</f>
        <v>10</v>
      </c>
      <c r="K18" s="34">
        <f t="shared" si="4"/>
        <v>0</v>
      </c>
      <c r="L18" s="34">
        <f t="shared" si="5"/>
        <v>10</v>
      </c>
      <c r="M18" s="34">
        <f>'01_Config'!G32</f>
        <v>15</v>
      </c>
      <c r="N18" s="34">
        <f t="shared" si="6"/>
        <v>0</v>
      </c>
      <c r="O18" s="34">
        <f t="shared" si="7"/>
        <v>15</v>
      </c>
    </row>
    <row r="19" spans="1:15" x14ac:dyDescent="0.3">
      <c r="A19" s="34" t="str">
        <f>'02_Employee_Master'!A18</f>
        <v>PL-013</v>
      </c>
      <c r="B19" s="28" t="str">
        <f>'02_Employee_Master'!B18</f>
        <v>Nisha Gupta</v>
      </c>
      <c r="C19" s="28" t="str">
        <f>'02_Employee_Master'!D18</f>
        <v>Quality Assurance</v>
      </c>
      <c r="D19" s="34">
        <f>'01_Config'!G29</f>
        <v>12</v>
      </c>
      <c r="E19" s="34">
        <f t="shared" si="0"/>
        <v>0</v>
      </c>
      <c r="F19" s="34">
        <f t="shared" si="1"/>
        <v>12</v>
      </c>
      <c r="G19" s="34">
        <f>'01_Config'!G30</f>
        <v>6</v>
      </c>
      <c r="H19" s="34">
        <f t="shared" si="2"/>
        <v>0</v>
      </c>
      <c r="I19" s="34">
        <f t="shared" si="3"/>
        <v>6</v>
      </c>
      <c r="J19" s="34">
        <f>'01_Config'!G31</f>
        <v>10</v>
      </c>
      <c r="K19" s="34">
        <f t="shared" si="4"/>
        <v>0</v>
      </c>
      <c r="L19" s="34">
        <f t="shared" si="5"/>
        <v>10</v>
      </c>
      <c r="M19" s="34">
        <f>'01_Config'!G32</f>
        <v>15</v>
      </c>
      <c r="N19" s="34">
        <f t="shared" si="6"/>
        <v>0</v>
      </c>
      <c r="O19" s="34">
        <f t="shared" si="7"/>
        <v>15</v>
      </c>
    </row>
    <row r="20" spans="1:15" x14ac:dyDescent="0.3">
      <c r="A20" s="34" t="str">
        <f>'02_Employee_Master'!A19</f>
        <v>PL-014</v>
      </c>
      <c r="B20" s="28" t="str">
        <f>'02_Employee_Master'!B19</f>
        <v>Deepak Joshi</v>
      </c>
      <c r="C20" s="28" t="str">
        <f>'02_Employee_Master'!D19</f>
        <v>Hematology</v>
      </c>
      <c r="D20" s="34">
        <f>'01_Config'!G29</f>
        <v>12</v>
      </c>
      <c r="E20" s="34">
        <f t="shared" si="0"/>
        <v>0</v>
      </c>
      <c r="F20" s="34">
        <f t="shared" si="1"/>
        <v>12</v>
      </c>
      <c r="G20" s="34">
        <f>'01_Config'!G30</f>
        <v>6</v>
      </c>
      <c r="H20" s="34">
        <f t="shared" si="2"/>
        <v>0</v>
      </c>
      <c r="I20" s="34">
        <f t="shared" si="3"/>
        <v>6</v>
      </c>
      <c r="J20" s="34">
        <f>'01_Config'!G31</f>
        <v>10</v>
      </c>
      <c r="K20" s="34">
        <f t="shared" si="4"/>
        <v>0</v>
      </c>
      <c r="L20" s="34">
        <f t="shared" si="5"/>
        <v>10</v>
      </c>
      <c r="M20" s="34">
        <f>'01_Config'!G32</f>
        <v>15</v>
      </c>
      <c r="N20" s="34">
        <f t="shared" si="6"/>
        <v>0</v>
      </c>
      <c r="O20" s="34">
        <f t="shared" si="7"/>
        <v>15</v>
      </c>
    </row>
    <row r="21" spans="1:15" x14ac:dyDescent="0.3">
      <c r="A21" s="34" t="str">
        <f>'02_Employee_Master'!A20</f>
        <v>PL-015</v>
      </c>
      <c r="B21" s="28" t="str">
        <f>'02_Employee_Master'!B20</f>
        <v>Anjali Verma</v>
      </c>
      <c r="C21" s="28" t="str">
        <f>'02_Employee_Master'!D20</f>
        <v>Administration</v>
      </c>
      <c r="D21" s="34">
        <f>'01_Config'!G29</f>
        <v>12</v>
      </c>
      <c r="E21" s="34">
        <f t="shared" si="0"/>
        <v>0</v>
      </c>
      <c r="F21" s="34">
        <f t="shared" si="1"/>
        <v>12</v>
      </c>
      <c r="G21" s="34">
        <f>'01_Config'!G30</f>
        <v>6</v>
      </c>
      <c r="H21" s="34">
        <f t="shared" si="2"/>
        <v>0</v>
      </c>
      <c r="I21" s="34">
        <f t="shared" si="3"/>
        <v>6</v>
      </c>
      <c r="J21" s="34">
        <f>'01_Config'!G31</f>
        <v>10</v>
      </c>
      <c r="K21" s="34">
        <f t="shared" si="4"/>
        <v>0</v>
      </c>
      <c r="L21" s="34">
        <f t="shared" si="5"/>
        <v>10</v>
      </c>
      <c r="M21" s="34">
        <f>'01_Config'!G32</f>
        <v>15</v>
      </c>
      <c r="N21" s="34">
        <f t="shared" si="6"/>
        <v>0</v>
      </c>
      <c r="O21" s="34">
        <f t="shared" si="7"/>
        <v>15</v>
      </c>
    </row>
    <row r="22" spans="1:15" x14ac:dyDescent="0.3">
      <c r="A22" s="34" t="str">
        <f>'02_Employee_Master'!A21</f>
        <v>PL-016</v>
      </c>
      <c r="B22" s="28" t="str">
        <f>'02_Employee_Master'!B21</f>
        <v>Ravi Teja</v>
      </c>
      <c r="C22" s="28" t="str">
        <f>'02_Employee_Master'!D21</f>
        <v>Biochemistry</v>
      </c>
      <c r="D22" s="34">
        <f>'01_Config'!G29</f>
        <v>12</v>
      </c>
      <c r="E22" s="34">
        <f t="shared" si="0"/>
        <v>0</v>
      </c>
      <c r="F22" s="34">
        <f t="shared" si="1"/>
        <v>12</v>
      </c>
      <c r="G22" s="34">
        <f>'01_Config'!G30</f>
        <v>6</v>
      </c>
      <c r="H22" s="34">
        <f t="shared" si="2"/>
        <v>0</v>
      </c>
      <c r="I22" s="34">
        <f t="shared" si="3"/>
        <v>6</v>
      </c>
      <c r="J22" s="34">
        <f>'01_Config'!G31</f>
        <v>10</v>
      </c>
      <c r="K22" s="34">
        <f t="shared" si="4"/>
        <v>2</v>
      </c>
      <c r="L22" s="34">
        <f t="shared" si="5"/>
        <v>8</v>
      </c>
      <c r="M22" s="34">
        <f>'01_Config'!G32</f>
        <v>15</v>
      </c>
      <c r="N22" s="34">
        <f t="shared" si="6"/>
        <v>0</v>
      </c>
      <c r="O22" s="34">
        <f t="shared" si="7"/>
        <v>15</v>
      </c>
    </row>
    <row r="23" spans="1:15" x14ac:dyDescent="0.3">
      <c r="A23" s="34" t="str">
        <f>'02_Employee_Master'!A22</f>
        <v>PL-017</v>
      </c>
      <c r="B23" s="28" t="str">
        <f>'02_Employee_Master'!B22</f>
        <v>Geeta Rao</v>
      </c>
      <c r="C23" s="28" t="str">
        <f>'02_Employee_Master'!D22</f>
        <v>Microbiology</v>
      </c>
      <c r="D23" s="34">
        <f>'01_Config'!G29</f>
        <v>12</v>
      </c>
      <c r="E23" s="34">
        <f t="shared" si="0"/>
        <v>0</v>
      </c>
      <c r="F23" s="34">
        <f t="shared" si="1"/>
        <v>12</v>
      </c>
      <c r="G23" s="34">
        <f>'01_Config'!G30</f>
        <v>6</v>
      </c>
      <c r="H23" s="34">
        <f t="shared" si="2"/>
        <v>0</v>
      </c>
      <c r="I23" s="34">
        <f t="shared" si="3"/>
        <v>6</v>
      </c>
      <c r="J23" s="34">
        <f>'01_Config'!G31</f>
        <v>10</v>
      </c>
      <c r="K23" s="34">
        <f t="shared" si="4"/>
        <v>0</v>
      </c>
      <c r="L23" s="34">
        <f t="shared" si="5"/>
        <v>10</v>
      </c>
      <c r="M23" s="34">
        <f>'01_Config'!G32</f>
        <v>15</v>
      </c>
      <c r="N23" s="34">
        <f t="shared" si="6"/>
        <v>0</v>
      </c>
      <c r="O23" s="34">
        <f t="shared" si="7"/>
        <v>15</v>
      </c>
    </row>
    <row r="24" spans="1:15" x14ac:dyDescent="0.3">
      <c r="A24" s="34" t="str">
        <f>'02_Employee_Master'!A23</f>
        <v>PL-018</v>
      </c>
      <c r="B24" s="28" t="str">
        <f>'02_Employee_Master'!B23</f>
        <v>Imran Sheikh</v>
      </c>
      <c r="C24" s="28" t="str">
        <f>'02_Employee_Master'!D23</f>
        <v>Phlebotomy</v>
      </c>
      <c r="D24" s="34">
        <f>'01_Config'!G29</f>
        <v>12</v>
      </c>
      <c r="E24" s="34">
        <f t="shared" si="0"/>
        <v>0</v>
      </c>
      <c r="F24" s="34">
        <f t="shared" si="1"/>
        <v>12</v>
      </c>
      <c r="G24" s="34">
        <f>'01_Config'!G30</f>
        <v>6</v>
      </c>
      <c r="H24" s="34">
        <f t="shared" si="2"/>
        <v>0</v>
      </c>
      <c r="I24" s="34">
        <f t="shared" si="3"/>
        <v>6</v>
      </c>
      <c r="J24" s="34">
        <f>'01_Config'!G31</f>
        <v>10</v>
      </c>
      <c r="K24" s="34">
        <f t="shared" si="4"/>
        <v>0</v>
      </c>
      <c r="L24" s="34">
        <f t="shared" si="5"/>
        <v>10</v>
      </c>
      <c r="M24" s="34">
        <f>'01_Config'!G32</f>
        <v>15</v>
      </c>
      <c r="N24" s="34">
        <f t="shared" si="6"/>
        <v>0</v>
      </c>
      <c r="O24" s="34">
        <f t="shared" si="7"/>
        <v>15</v>
      </c>
    </row>
    <row r="25" spans="1:15" x14ac:dyDescent="0.3">
      <c r="A25" s="34" t="str">
        <f>'02_Employee_Master'!A24</f>
        <v>PL-019</v>
      </c>
      <c r="B25" s="28" t="str">
        <f>'02_Employee_Master'!B24</f>
        <v>Kavya Menon</v>
      </c>
      <c r="C25" s="28" t="str">
        <f>'02_Employee_Master'!D24</f>
        <v>Histopathology</v>
      </c>
      <c r="D25" s="34">
        <f>'01_Config'!G29</f>
        <v>12</v>
      </c>
      <c r="E25" s="34">
        <f t="shared" si="0"/>
        <v>0</v>
      </c>
      <c r="F25" s="34">
        <f t="shared" si="1"/>
        <v>12</v>
      </c>
      <c r="G25" s="34">
        <f>'01_Config'!G30</f>
        <v>6</v>
      </c>
      <c r="H25" s="34">
        <f t="shared" si="2"/>
        <v>0</v>
      </c>
      <c r="I25" s="34">
        <f t="shared" si="3"/>
        <v>6</v>
      </c>
      <c r="J25" s="34">
        <f>'01_Config'!G31</f>
        <v>10</v>
      </c>
      <c r="K25" s="34">
        <f t="shared" si="4"/>
        <v>0</v>
      </c>
      <c r="L25" s="34">
        <f t="shared" si="5"/>
        <v>10</v>
      </c>
      <c r="M25" s="34">
        <f>'01_Config'!G32</f>
        <v>15</v>
      </c>
      <c r="N25" s="34">
        <f t="shared" si="6"/>
        <v>0</v>
      </c>
      <c r="O25" s="34">
        <f t="shared" si="7"/>
        <v>15</v>
      </c>
    </row>
    <row r="26" spans="1:15" x14ac:dyDescent="0.3">
      <c r="A26" s="34" t="str">
        <f>'02_Employee_Master'!A25</f>
        <v>PL-020</v>
      </c>
      <c r="B26" s="28" t="str">
        <f>'02_Employee_Master'!B25</f>
        <v>Thomas Mathew</v>
      </c>
      <c r="C26" s="28" t="str">
        <f>'02_Employee_Master'!D25</f>
        <v>Sample Receiving</v>
      </c>
      <c r="D26" s="34">
        <f>'01_Config'!G29</f>
        <v>12</v>
      </c>
      <c r="E26" s="34">
        <f t="shared" si="0"/>
        <v>0</v>
      </c>
      <c r="F26" s="34">
        <f t="shared" si="1"/>
        <v>12</v>
      </c>
      <c r="G26" s="34">
        <f>'01_Config'!G30</f>
        <v>6</v>
      </c>
      <c r="H26" s="34">
        <f t="shared" si="2"/>
        <v>0</v>
      </c>
      <c r="I26" s="34">
        <f t="shared" si="3"/>
        <v>6</v>
      </c>
      <c r="J26" s="34">
        <f>'01_Config'!G31</f>
        <v>10</v>
      </c>
      <c r="K26" s="34">
        <f t="shared" si="4"/>
        <v>0</v>
      </c>
      <c r="L26" s="34">
        <f t="shared" si="5"/>
        <v>10</v>
      </c>
      <c r="M26" s="34">
        <f>'01_Config'!G32</f>
        <v>15</v>
      </c>
      <c r="N26" s="34">
        <f t="shared" si="6"/>
        <v>0</v>
      </c>
      <c r="O26" s="34">
        <f t="shared" si="7"/>
        <v>15</v>
      </c>
    </row>
    <row r="28" spans="1:15" x14ac:dyDescent="0.3">
      <c r="A28" s="25" t="s">
        <v>312</v>
      </c>
      <c r="B28" s="25"/>
      <c r="C28" s="25"/>
      <c r="D28" s="25"/>
      <c r="E28" s="25"/>
      <c r="F28" s="25"/>
      <c r="G28" s="25"/>
      <c r="H28" s="25"/>
      <c r="I28" s="25"/>
      <c r="J28" s="25"/>
    </row>
    <row r="29" spans="1:15" ht="27.6" x14ac:dyDescent="0.3">
      <c r="A29" s="26" t="s">
        <v>275</v>
      </c>
      <c r="B29" s="26" t="s">
        <v>157</v>
      </c>
      <c r="C29" s="26" t="s">
        <v>159</v>
      </c>
      <c r="D29" s="26" t="s">
        <v>136</v>
      </c>
      <c r="E29" s="26" t="s">
        <v>313</v>
      </c>
      <c r="F29" s="26" t="s">
        <v>314</v>
      </c>
      <c r="G29" s="26" t="s">
        <v>315</v>
      </c>
      <c r="H29" s="26" t="s">
        <v>316</v>
      </c>
      <c r="I29" s="26" t="s">
        <v>317</v>
      </c>
      <c r="J29" s="26" t="s">
        <v>318</v>
      </c>
    </row>
    <row r="30" spans="1:15" ht="41.4" x14ac:dyDescent="0.3">
      <c r="A30" s="34" t="s">
        <v>184</v>
      </c>
      <c r="B30" s="28" t="str">
        <f>IFERROR(VLOOKUP(A30,'02_Employee_Master'!$A$6:$B$25,2,FALSE),"")</f>
        <v>Rahul Nair</v>
      </c>
      <c r="C30" s="28" t="str">
        <f>IFERROR(VLOOKUP(A30,'02_Employee_Master'!$A$6:$D$25,4,FALSE),"")</f>
        <v>Hematology</v>
      </c>
      <c r="D30" s="34" t="s">
        <v>76</v>
      </c>
      <c r="E30" s="34">
        <v>2</v>
      </c>
      <c r="F30" s="34">
        <v>46273</v>
      </c>
      <c r="G30" s="34">
        <v>46274</v>
      </c>
      <c r="H30" s="34" t="s">
        <v>111</v>
      </c>
      <c r="I30" s="28" t="s">
        <v>180</v>
      </c>
      <c r="J30" s="28" t="s">
        <v>319</v>
      </c>
    </row>
    <row r="31" spans="1:15" ht="41.4" x14ac:dyDescent="0.3">
      <c r="A31" s="34" t="s">
        <v>199</v>
      </c>
      <c r="B31" s="28" t="str">
        <f>IFERROR(VLOOKUP(A31,'02_Employee_Master'!$A$6:$B$25,2,FALSE),"")</f>
        <v>Meera Iyer</v>
      </c>
      <c r="C31" s="28" t="str">
        <f>IFERROR(VLOOKUP(A31,'02_Employee_Master'!$A$6:$D$25,4,FALSE),"")</f>
        <v>Microbiology</v>
      </c>
      <c r="D31" s="34" t="s">
        <v>90</v>
      </c>
      <c r="E31" s="34">
        <v>1</v>
      </c>
      <c r="F31" s="34">
        <v>46268</v>
      </c>
      <c r="G31" s="34">
        <v>46268</v>
      </c>
      <c r="H31" s="34" t="s">
        <v>111</v>
      </c>
      <c r="I31" s="28" t="s">
        <v>175</v>
      </c>
      <c r="J31" s="28" t="s">
        <v>320</v>
      </c>
    </row>
    <row r="32" spans="1:15" ht="27.6" x14ac:dyDescent="0.3">
      <c r="A32" s="34" t="s">
        <v>214</v>
      </c>
      <c r="B32" s="28" t="str">
        <f>IFERROR(VLOOKUP(A32,'02_Employee_Master'!$A$6:$B$25,2,FALSE),"")</f>
        <v>Mohammed Irfan</v>
      </c>
      <c r="C32" s="28" t="str">
        <f>IFERROR(VLOOKUP(A32,'02_Employee_Master'!$A$6:$D$25,4,FALSE),"")</f>
        <v>Phlebotomy</v>
      </c>
      <c r="D32" s="34" t="s">
        <v>110</v>
      </c>
      <c r="E32" s="34">
        <v>1</v>
      </c>
      <c r="F32" s="34">
        <v>46276</v>
      </c>
      <c r="G32" s="34">
        <v>46276</v>
      </c>
      <c r="H32" s="34" t="s">
        <v>111</v>
      </c>
      <c r="I32" s="28" t="s">
        <v>175</v>
      </c>
      <c r="J32" s="28" t="s">
        <v>321</v>
      </c>
    </row>
    <row r="33" spans="1:10" ht="27.6" x14ac:dyDescent="0.3">
      <c r="A33" s="34" t="s">
        <v>189</v>
      </c>
      <c r="B33" s="28" t="str">
        <f>IFERROR(VLOOKUP(A33,'02_Employee_Master'!$A$6:$B$25,2,FALSE),"")</f>
        <v>Fatima Khan</v>
      </c>
      <c r="C33" s="28" t="str">
        <f>IFERROR(VLOOKUP(A33,'02_Employee_Master'!$A$6:$D$25,4,FALSE),"")</f>
        <v>Biochemistry</v>
      </c>
      <c r="D33" s="34" t="s">
        <v>86</v>
      </c>
      <c r="E33" s="34">
        <v>3</v>
      </c>
      <c r="F33" s="34">
        <v>46287</v>
      </c>
      <c r="G33" s="34">
        <v>46289</v>
      </c>
      <c r="H33" s="34" t="s">
        <v>104</v>
      </c>
      <c r="I33" s="28" t="s">
        <v>175</v>
      </c>
      <c r="J33" s="28"/>
    </row>
    <row r="34" spans="1:10" ht="41.4" x14ac:dyDescent="0.3">
      <c r="A34" s="34" t="s">
        <v>234</v>
      </c>
      <c r="B34" s="28" t="str">
        <f>IFERROR(VLOOKUP(A34,'02_Employee_Master'!$A$6:$B$25,2,FALSE),"")</f>
        <v>Deepak Joshi</v>
      </c>
      <c r="C34" s="28" t="str">
        <f>IFERROR(VLOOKUP(A34,'02_Employee_Master'!$A$6:$D$25,4,FALSE),"")</f>
        <v>Hematology</v>
      </c>
      <c r="D34" s="34" t="s">
        <v>76</v>
      </c>
      <c r="E34" s="34">
        <v>1</v>
      </c>
      <c r="F34" s="34">
        <v>46280</v>
      </c>
      <c r="G34" s="34">
        <v>46280</v>
      </c>
      <c r="H34" s="34" t="s">
        <v>117</v>
      </c>
      <c r="I34" s="28" t="s">
        <v>180</v>
      </c>
      <c r="J34" s="28" t="s">
        <v>322</v>
      </c>
    </row>
    <row r="35" spans="1:10" ht="27.6" x14ac:dyDescent="0.3">
      <c r="A35" s="34" t="s">
        <v>244</v>
      </c>
      <c r="B35" s="28" t="str">
        <f>IFERROR(VLOOKUP(A35,'02_Employee_Master'!$A$6:$B$25,2,FALSE),"")</f>
        <v>Ravi Teja</v>
      </c>
      <c r="C35" s="28" t="str">
        <f>IFERROR(VLOOKUP(A35,'02_Employee_Master'!$A$6:$D$25,4,FALSE),"")</f>
        <v>Biochemistry</v>
      </c>
      <c r="D35" s="34" t="s">
        <v>90</v>
      </c>
      <c r="E35" s="34">
        <v>2</v>
      </c>
      <c r="F35" s="34">
        <v>46269</v>
      </c>
      <c r="G35" s="34">
        <v>46270</v>
      </c>
      <c r="H35" s="34" t="s">
        <v>111</v>
      </c>
      <c r="I35" s="28" t="s">
        <v>190</v>
      </c>
      <c r="J35" s="28" t="s">
        <v>323</v>
      </c>
    </row>
    <row r="36" spans="1:10" ht="27.6" x14ac:dyDescent="0.3">
      <c r="A36" s="34" t="s">
        <v>219</v>
      </c>
      <c r="B36" s="28" t="str">
        <f>IFERROR(VLOOKUP(A36,'02_Employee_Master'!$A$6:$B$25,2,FALSE),"")</f>
        <v>Lakshmi Devi</v>
      </c>
      <c r="C36" s="28" t="str">
        <f>IFERROR(VLOOKUP(A36,'02_Employee_Master'!$A$6:$D$25,4,FALSE),"")</f>
        <v>Phlebotomy</v>
      </c>
      <c r="D36" s="34" t="s">
        <v>76</v>
      </c>
      <c r="E36" s="34">
        <v>1</v>
      </c>
      <c r="F36" s="34">
        <v>46283</v>
      </c>
      <c r="G36" s="34">
        <v>46283</v>
      </c>
      <c r="H36" s="34" t="s">
        <v>111</v>
      </c>
      <c r="I36" s="28" t="s">
        <v>175</v>
      </c>
      <c r="J36" s="28" t="s">
        <v>324</v>
      </c>
    </row>
    <row r="37" spans="1:10" ht="41.4" x14ac:dyDescent="0.3">
      <c r="A37" s="34" t="s">
        <v>204</v>
      </c>
      <c r="B37" s="28" t="str">
        <f>IFERROR(VLOOKUP(A37,'02_Employee_Master'!$A$6:$B$25,2,FALSE),"")</f>
        <v>Karan Malhotra</v>
      </c>
      <c r="C37" s="28" t="str">
        <f>IFERROR(VLOOKUP(A37,'02_Employee_Master'!$A$6:$D$25,4,FALSE),"")</f>
        <v>Microbiology</v>
      </c>
      <c r="D37" s="34" t="s">
        <v>110</v>
      </c>
      <c r="E37" s="34">
        <v>1</v>
      </c>
      <c r="F37" s="34">
        <v>46267</v>
      </c>
      <c r="G37" s="34">
        <v>46267</v>
      </c>
      <c r="H37" s="34" t="s">
        <v>104</v>
      </c>
      <c r="I37" s="28" t="s">
        <v>200</v>
      </c>
      <c r="J37" s="28" t="s">
        <v>325</v>
      </c>
    </row>
    <row r="38" spans="1:10" x14ac:dyDescent="0.3">
      <c r="B38" s="24" t="str">
        <f>IF(A38="","",IFERROR(VLOOKUP(A38,'02_Employee_Master'!$A$6:$B$25,2,FALSE),""))</f>
        <v/>
      </c>
      <c r="C38" s="24" t="str">
        <f>IF(A38="","",IFERROR(VLOOKUP(A38,'02_Employee_Master'!$A$6:$D$25,4,FALSE),""))</f>
        <v/>
      </c>
    </row>
    <row r="39" spans="1:10" x14ac:dyDescent="0.3">
      <c r="B39" s="24" t="str">
        <f>IF(A39="","",IFERROR(VLOOKUP(A39,'02_Employee_Master'!$A$6:$B$25,2,FALSE),""))</f>
        <v/>
      </c>
      <c r="C39" s="24" t="str">
        <f>IF(A39="","",IFERROR(VLOOKUP(A39,'02_Employee_Master'!$A$6:$D$25,4,FALSE),""))</f>
        <v/>
      </c>
    </row>
    <row r="40" spans="1:10" x14ac:dyDescent="0.3">
      <c r="B40" s="24" t="str">
        <f>IF(A40="","",IFERROR(VLOOKUP(A40,'02_Employee_Master'!$A$6:$B$25,2,FALSE),""))</f>
        <v/>
      </c>
      <c r="C40" s="24" t="str">
        <f>IF(A40="","",IFERROR(VLOOKUP(A40,'02_Employee_Master'!$A$6:$D$25,4,FALSE),""))</f>
        <v/>
      </c>
    </row>
    <row r="41" spans="1:10" x14ac:dyDescent="0.3">
      <c r="B41" s="24" t="str">
        <f>IF(A41="","",IFERROR(VLOOKUP(A41,'02_Employee_Master'!$A$6:$B$25,2,FALSE),""))</f>
        <v/>
      </c>
      <c r="C41" s="24" t="str">
        <f>IF(A41="","",IFERROR(VLOOKUP(A41,'02_Employee_Master'!$A$6:$D$25,4,FALSE),""))</f>
        <v/>
      </c>
    </row>
    <row r="42" spans="1:10" x14ac:dyDescent="0.3">
      <c r="B42" s="24" t="str">
        <f>IF(A42="","",IFERROR(VLOOKUP(A42,'02_Employee_Master'!$A$6:$B$25,2,FALSE),""))</f>
        <v/>
      </c>
      <c r="C42" s="24" t="str">
        <f>IF(A42="","",IFERROR(VLOOKUP(A42,'02_Employee_Master'!$A$6:$D$25,4,FALSE),""))</f>
        <v/>
      </c>
    </row>
    <row r="43" spans="1:10" x14ac:dyDescent="0.3">
      <c r="B43" s="24" t="str">
        <f>IF(A43="","",IFERROR(VLOOKUP(A43,'02_Employee_Master'!$A$6:$B$25,2,FALSE),""))</f>
        <v/>
      </c>
      <c r="C43" s="24" t="str">
        <f>IF(A43="","",IFERROR(VLOOKUP(A43,'02_Employee_Master'!$A$6:$D$25,4,FALSE),""))</f>
        <v/>
      </c>
    </row>
    <row r="44" spans="1:10" x14ac:dyDescent="0.3">
      <c r="B44" s="24" t="str">
        <f>IF(A44="","",IFERROR(VLOOKUP(A44,'02_Employee_Master'!$A$6:$B$25,2,FALSE),""))</f>
        <v/>
      </c>
      <c r="C44" s="24" t="str">
        <f>IF(A44="","",IFERROR(VLOOKUP(A44,'02_Employee_Master'!$A$6:$D$25,4,FALSE),""))</f>
        <v/>
      </c>
    </row>
    <row r="45" spans="1:10" x14ac:dyDescent="0.3">
      <c r="B45" s="24" t="str">
        <f>IF(A45="","",IFERROR(VLOOKUP(A45,'02_Employee_Master'!$A$6:$B$25,2,FALSE),""))</f>
        <v/>
      </c>
      <c r="C45" s="24" t="str">
        <f>IF(A45="","",IFERROR(VLOOKUP(A45,'02_Employee_Master'!$A$6:$D$25,4,FALSE),""))</f>
        <v/>
      </c>
    </row>
    <row r="46" spans="1:10" x14ac:dyDescent="0.3">
      <c r="B46" s="24" t="str">
        <f>IF(A46="","",IFERROR(VLOOKUP(A46,'02_Employee_Master'!$A$6:$B$25,2,FALSE),""))</f>
        <v/>
      </c>
      <c r="C46" s="24" t="str">
        <f>IF(A46="","",IFERROR(VLOOKUP(A46,'02_Employee_Master'!$A$6:$D$25,4,FALSE),""))</f>
        <v/>
      </c>
    </row>
    <row r="47" spans="1:10" x14ac:dyDescent="0.3">
      <c r="B47" s="24" t="str">
        <f>IF(A47="","",IFERROR(VLOOKUP(A47,'02_Employee_Master'!$A$6:$B$25,2,FALSE),""))</f>
        <v/>
      </c>
      <c r="C47" s="24" t="str">
        <f>IF(A47="","",IFERROR(VLOOKUP(A47,'02_Employee_Master'!$A$6:$D$25,4,FALSE),""))</f>
        <v/>
      </c>
    </row>
    <row r="48" spans="1:10" x14ac:dyDescent="0.3">
      <c r="B48" s="24" t="str">
        <f>IF(A48="","",IFERROR(VLOOKUP(A48,'02_Employee_Master'!$A$6:$B$25,2,FALSE),""))</f>
        <v/>
      </c>
      <c r="C48" s="24" t="str">
        <f>IF(A48="","",IFERROR(VLOOKUP(A48,'02_Employee_Master'!$A$6:$D$25,4,FALSE),""))</f>
        <v/>
      </c>
    </row>
    <row r="49" spans="2:3" x14ac:dyDescent="0.3">
      <c r="B49" s="24" t="str">
        <f>IF(A49="","",IFERROR(VLOOKUP(A49,'02_Employee_Master'!$A$6:$B$25,2,FALSE),""))</f>
        <v/>
      </c>
      <c r="C49" s="24" t="str">
        <f>IF(A49="","",IFERROR(VLOOKUP(A49,'02_Employee_Master'!$A$6:$D$25,4,FALSE),""))</f>
        <v/>
      </c>
    </row>
    <row r="50" spans="2:3" x14ac:dyDescent="0.3">
      <c r="B50" s="24" t="str">
        <f>IF(A50="","",IFERROR(VLOOKUP(A50,'02_Employee_Master'!$A$6:$B$25,2,FALSE),""))</f>
        <v/>
      </c>
      <c r="C50" s="24" t="str">
        <f>IF(A50="","",IFERROR(VLOOKUP(A50,'02_Employee_Master'!$A$6:$D$25,4,FALSE),""))</f>
        <v/>
      </c>
    </row>
    <row r="51" spans="2:3" x14ac:dyDescent="0.3">
      <c r="B51" s="24" t="str">
        <f>IF(A51="","",IFERROR(VLOOKUP(A51,'02_Employee_Master'!$A$6:$B$25,2,FALSE),""))</f>
        <v/>
      </c>
      <c r="C51" s="24" t="str">
        <f>IF(A51="","",IFERROR(VLOOKUP(A51,'02_Employee_Master'!$A$6:$D$25,4,FALSE),""))</f>
        <v/>
      </c>
    </row>
    <row r="52" spans="2:3" x14ac:dyDescent="0.3">
      <c r="B52" s="24" t="str">
        <f>IF(A52="","",IFERROR(VLOOKUP(A52,'02_Employee_Master'!$A$6:$B$25,2,FALSE),""))</f>
        <v/>
      </c>
      <c r="C52" s="24" t="str">
        <f>IF(A52="","",IFERROR(VLOOKUP(A52,'02_Employee_Master'!$A$6:$D$25,4,FALSE),""))</f>
        <v/>
      </c>
    </row>
    <row r="53" spans="2:3" x14ac:dyDescent="0.3">
      <c r="B53" s="24" t="str">
        <f>IF(A53="","",IFERROR(VLOOKUP(A53,'02_Employee_Master'!$A$6:$B$25,2,FALSE),""))</f>
        <v/>
      </c>
      <c r="C53" s="24" t="str">
        <f>IF(A53="","",IFERROR(VLOOKUP(A53,'02_Employee_Master'!$A$6:$D$25,4,FALSE),""))</f>
        <v/>
      </c>
    </row>
    <row r="54" spans="2:3" x14ac:dyDescent="0.3">
      <c r="B54" s="24" t="str">
        <f>IF(A54="","",IFERROR(VLOOKUP(A54,'02_Employee_Master'!$A$6:$B$25,2,FALSE),""))</f>
        <v/>
      </c>
      <c r="C54" s="24" t="str">
        <f>IF(A54="","",IFERROR(VLOOKUP(A54,'02_Employee_Master'!$A$6:$D$25,4,FALSE),""))</f>
        <v/>
      </c>
    </row>
    <row r="55" spans="2:3" x14ac:dyDescent="0.3">
      <c r="B55" s="24" t="str">
        <f>IF(A55="","",IFERROR(VLOOKUP(A55,'02_Employee_Master'!$A$6:$B$25,2,FALSE),""))</f>
        <v/>
      </c>
      <c r="C55" s="24" t="str">
        <f>IF(A55="","",IFERROR(VLOOKUP(A55,'02_Employee_Master'!$A$6:$D$25,4,FALSE),""))</f>
        <v/>
      </c>
    </row>
    <row r="56" spans="2:3" x14ac:dyDescent="0.3">
      <c r="B56" s="24" t="str">
        <f>IF(A56="","",IFERROR(VLOOKUP(A56,'02_Employee_Master'!$A$6:$B$25,2,FALSE),""))</f>
        <v/>
      </c>
      <c r="C56" s="24" t="str">
        <f>IF(A56="","",IFERROR(VLOOKUP(A56,'02_Employee_Master'!$A$6:$D$25,4,FALSE),""))</f>
        <v/>
      </c>
    </row>
    <row r="57" spans="2:3" x14ac:dyDescent="0.3">
      <c r="B57" s="24" t="str">
        <f>IF(A57="","",IFERROR(VLOOKUP(A57,'02_Employee_Master'!$A$6:$B$25,2,FALSE),""))</f>
        <v/>
      </c>
      <c r="C57" s="24" t="str">
        <f>IF(A57="","",IFERROR(VLOOKUP(A57,'02_Employee_Master'!$A$6:$D$25,4,FALSE),""))</f>
        <v/>
      </c>
    </row>
    <row r="58" spans="2:3" x14ac:dyDescent="0.3">
      <c r="B58" s="24" t="str">
        <f>IF(A58="","",IFERROR(VLOOKUP(A58,'02_Employee_Master'!$A$6:$B$25,2,FALSE),""))</f>
        <v/>
      </c>
      <c r="C58" s="24" t="str">
        <f>IF(A58="","",IFERROR(VLOOKUP(A58,'02_Employee_Master'!$A$6:$D$25,4,FALSE),""))</f>
        <v/>
      </c>
    </row>
    <row r="59" spans="2:3" x14ac:dyDescent="0.3">
      <c r="B59" s="24" t="str">
        <f>IF(A59="","",IFERROR(VLOOKUP(A59,'02_Employee_Master'!$A$6:$B$25,2,FALSE),""))</f>
        <v/>
      </c>
      <c r="C59" s="24" t="str">
        <f>IF(A59="","",IFERROR(VLOOKUP(A59,'02_Employee_Master'!$A$6:$D$25,4,FALSE),""))</f>
        <v/>
      </c>
    </row>
    <row r="60" spans="2:3" x14ac:dyDescent="0.3">
      <c r="B60" s="24" t="str">
        <f>IF(A60="","",IFERROR(VLOOKUP(A60,'02_Employee_Master'!$A$6:$B$25,2,FALSE),""))</f>
        <v/>
      </c>
      <c r="C60" s="24" t="str">
        <f>IF(A60="","",IFERROR(VLOOKUP(A60,'02_Employee_Master'!$A$6:$D$25,4,FALSE),""))</f>
        <v/>
      </c>
    </row>
    <row r="61" spans="2:3" x14ac:dyDescent="0.3">
      <c r="B61" s="24" t="str">
        <f>IF(A61="","",IFERROR(VLOOKUP(A61,'02_Employee_Master'!$A$6:$B$25,2,FALSE),""))</f>
        <v/>
      </c>
      <c r="C61" s="24" t="str">
        <f>IF(A61="","",IFERROR(VLOOKUP(A61,'02_Employee_Master'!$A$6:$D$25,4,FALSE),""))</f>
        <v/>
      </c>
    </row>
    <row r="62" spans="2:3" x14ac:dyDescent="0.3">
      <c r="B62" s="24" t="str">
        <f>IF(A62="","",IFERROR(VLOOKUP(A62,'02_Employee_Master'!$A$6:$B$25,2,FALSE),""))</f>
        <v/>
      </c>
      <c r="C62" s="24" t="str">
        <f>IF(A62="","",IFERROR(VLOOKUP(A62,'02_Employee_Master'!$A$6:$D$25,4,FALSE),""))</f>
        <v/>
      </c>
    </row>
    <row r="63" spans="2:3" x14ac:dyDescent="0.3">
      <c r="B63" s="24" t="str">
        <f>IF(A63="","",IFERROR(VLOOKUP(A63,'02_Employee_Master'!$A$6:$B$25,2,FALSE),""))</f>
        <v/>
      </c>
      <c r="C63" s="24" t="str">
        <f>IF(A63="","",IFERROR(VLOOKUP(A63,'02_Employee_Master'!$A$6:$D$25,4,FALSE),""))</f>
        <v/>
      </c>
    </row>
    <row r="64" spans="2:3" x14ac:dyDescent="0.3">
      <c r="B64" s="24" t="str">
        <f>IF(A64="","",IFERROR(VLOOKUP(A64,'02_Employee_Master'!$A$6:$B$25,2,FALSE),""))</f>
        <v/>
      </c>
      <c r="C64" s="24" t="str">
        <f>IF(A64="","",IFERROR(VLOOKUP(A64,'02_Employee_Master'!$A$6:$D$25,4,FALSE),""))</f>
        <v/>
      </c>
    </row>
    <row r="65" spans="2:3" x14ac:dyDescent="0.3">
      <c r="B65" s="24" t="str">
        <f>IF(A65="","",IFERROR(VLOOKUP(A65,'02_Employee_Master'!$A$6:$B$25,2,FALSE),""))</f>
        <v/>
      </c>
      <c r="C65" s="24" t="str">
        <f>IF(A65="","",IFERROR(VLOOKUP(A65,'02_Employee_Master'!$A$6:$D$25,4,FALSE),""))</f>
        <v/>
      </c>
    </row>
    <row r="66" spans="2:3" x14ac:dyDescent="0.3">
      <c r="B66" s="24" t="str">
        <f>IF(A66="","",IFERROR(VLOOKUP(A66,'02_Employee_Master'!$A$6:$B$25,2,FALSE),""))</f>
        <v/>
      </c>
      <c r="C66" s="24" t="str">
        <f>IF(A66="","",IFERROR(VLOOKUP(A66,'02_Employee_Master'!$A$6:$D$25,4,FALSE),""))</f>
        <v/>
      </c>
    </row>
    <row r="67" spans="2:3" x14ac:dyDescent="0.3">
      <c r="B67" s="24" t="str">
        <f>IF(A67="","",IFERROR(VLOOKUP(A67,'02_Employee_Master'!$A$6:$B$25,2,FALSE),""))</f>
        <v/>
      </c>
      <c r="C67" s="24" t="str">
        <f>IF(A67="","",IFERROR(VLOOKUP(A67,'02_Employee_Master'!$A$6:$D$25,4,FALSE),""))</f>
        <v/>
      </c>
    </row>
    <row r="68" spans="2:3" x14ac:dyDescent="0.3">
      <c r="B68" s="24" t="str">
        <f>IF(A68="","",IFERROR(VLOOKUP(A68,'02_Employee_Master'!$A$6:$B$25,2,FALSE),""))</f>
        <v/>
      </c>
      <c r="C68" s="24" t="str">
        <f>IF(A68="","",IFERROR(VLOOKUP(A68,'02_Employee_Master'!$A$6:$D$25,4,FALSE),""))</f>
        <v/>
      </c>
    </row>
    <row r="69" spans="2:3" x14ac:dyDescent="0.3">
      <c r="B69" s="24" t="str">
        <f>IF(A69="","",IFERROR(VLOOKUP(A69,'02_Employee_Master'!$A$6:$B$25,2,FALSE),""))</f>
        <v/>
      </c>
      <c r="C69" s="24" t="str">
        <f>IF(A69="","",IFERROR(VLOOKUP(A69,'02_Employee_Master'!$A$6:$D$25,4,FALSE),""))</f>
        <v/>
      </c>
    </row>
    <row r="70" spans="2:3" x14ac:dyDescent="0.3">
      <c r="B70" s="24" t="str">
        <f>IF(A70="","",IFERROR(VLOOKUP(A70,'02_Employee_Master'!$A$6:$B$25,2,FALSE),""))</f>
        <v/>
      </c>
      <c r="C70" s="24" t="str">
        <f>IF(A70="","",IFERROR(VLOOKUP(A70,'02_Employee_Master'!$A$6:$D$25,4,FALSE),""))</f>
        <v/>
      </c>
    </row>
    <row r="71" spans="2:3" x14ac:dyDescent="0.3">
      <c r="B71" s="24" t="str">
        <f>IF(A71="","",IFERROR(VLOOKUP(A71,'02_Employee_Master'!$A$6:$B$25,2,FALSE),""))</f>
        <v/>
      </c>
      <c r="C71" s="24" t="str">
        <f>IF(A71="","",IFERROR(VLOOKUP(A71,'02_Employee_Master'!$A$6:$D$25,4,FALSE),""))</f>
        <v/>
      </c>
    </row>
    <row r="72" spans="2:3" x14ac:dyDescent="0.3">
      <c r="B72" s="24" t="str">
        <f>IF(A72="","",IFERROR(VLOOKUP(A72,'02_Employee_Master'!$A$6:$B$25,2,FALSE),""))</f>
        <v/>
      </c>
      <c r="C72" s="24" t="str">
        <f>IF(A72="","",IFERROR(VLOOKUP(A72,'02_Employee_Master'!$A$6:$D$25,4,FALSE),""))</f>
        <v/>
      </c>
    </row>
    <row r="73" spans="2:3" x14ac:dyDescent="0.3">
      <c r="B73" s="24" t="str">
        <f>IF(A73="","",IFERROR(VLOOKUP(A73,'02_Employee_Master'!$A$6:$B$25,2,FALSE),""))</f>
        <v/>
      </c>
      <c r="C73" s="24" t="str">
        <f>IF(A73="","",IFERROR(VLOOKUP(A73,'02_Employee_Master'!$A$6:$D$25,4,FALSE),""))</f>
        <v/>
      </c>
    </row>
    <row r="74" spans="2:3" x14ac:dyDescent="0.3">
      <c r="B74" s="24" t="str">
        <f>IF(A74="","",IFERROR(VLOOKUP(A74,'02_Employee_Master'!$A$6:$B$25,2,FALSE),""))</f>
        <v/>
      </c>
      <c r="C74" s="24" t="str">
        <f>IF(A74="","",IFERROR(VLOOKUP(A74,'02_Employee_Master'!$A$6:$D$25,4,FALSE),""))</f>
        <v/>
      </c>
    </row>
    <row r="75" spans="2:3" x14ac:dyDescent="0.3">
      <c r="B75" s="24" t="str">
        <f>IF(A75="","",IFERROR(VLOOKUP(A75,'02_Employee_Master'!$A$6:$B$25,2,FALSE),""))</f>
        <v/>
      </c>
      <c r="C75" s="24" t="str">
        <f>IF(A75="","",IFERROR(VLOOKUP(A75,'02_Employee_Master'!$A$6:$D$25,4,FALSE),""))</f>
        <v/>
      </c>
    </row>
    <row r="76" spans="2:3" x14ac:dyDescent="0.3">
      <c r="B76" s="24" t="str">
        <f>IF(A76="","",IFERROR(VLOOKUP(A76,'02_Employee_Master'!$A$6:$B$25,2,FALSE),""))</f>
        <v/>
      </c>
      <c r="C76" s="24" t="str">
        <f>IF(A76="","",IFERROR(VLOOKUP(A76,'02_Employee_Master'!$A$6:$D$25,4,FALSE),""))</f>
        <v/>
      </c>
    </row>
    <row r="77" spans="2:3" x14ac:dyDescent="0.3">
      <c r="B77" s="24" t="str">
        <f>IF(A77="","",IFERROR(VLOOKUP(A77,'02_Employee_Master'!$A$6:$B$25,2,FALSE),""))</f>
        <v/>
      </c>
      <c r="C77" s="24" t="str">
        <f>IF(A77="","",IFERROR(VLOOKUP(A77,'02_Employee_Master'!$A$6:$D$25,4,FALSE),""))</f>
        <v/>
      </c>
    </row>
    <row r="78" spans="2:3" x14ac:dyDescent="0.3">
      <c r="B78" s="24" t="str">
        <f>IF(A78="","",IFERROR(VLOOKUP(A78,'02_Employee_Master'!$A$6:$B$25,2,FALSE),""))</f>
        <v/>
      </c>
      <c r="C78" s="24" t="str">
        <f>IF(A78="","",IFERROR(VLOOKUP(A78,'02_Employee_Master'!$A$6:$D$25,4,FALSE),""))</f>
        <v/>
      </c>
    </row>
    <row r="79" spans="2:3" x14ac:dyDescent="0.3">
      <c r="B79" s="24" t="str">
        <f>IF(A79="","",IFERROR(VLOOKUP(A79,'02_Employee_Master'!$A$6:$B$25,2,FALSE),""))</f>
        <v/>
      </c>
      <c r="C79" s="24" t="str">
        <f>IF(A79="","",IFERROR(VLOOKUP(A79,'02_Employee_Master'!$A$6:$D$25,4,FALSE),""))</f>
        <v/>
      </c>
    </row>
  </sheetData>
  <mergeCells count="5">
    <mergeCell ref="A3:N3"/>
    <mergeCell ref="A2:N2"/>
    <mergeCell ref="A5:O5"/>
    <mergeCell ref="A28:J28"/>
    <mergeCell ref="A1:N1"/>
  </mergeCells>
  <conditionalFormatting sqref="F7:F26">
    <cfRule type="cellIs" dxfId="7" priority="1" operator="lessThanOrEqual">
      <formula>2</formula>
    </cfRule>
  </conditionalFormatting>
  <conditionalFormatting sqref="I7:I26">
    <cfRule type="cellIs" dxfId="6" priority="2" operator="lessThanOrEqual">
      <formula>2</formula>
    </cfRule>
  </conditionalFormatting>
  <conditionalFormatting sqref="L7:L26">
    <cfRule type="cellIs" dxfId="5" priority="3" operator="lessThanOrEqual">
      <formula>2</formula>
    </cfRule>
  </conditionalFormatting>
  <conditionalFormatting sqref="O7:O26">
    <cfRule type="cellIs" dxfId="4" priority="4" operator="lessThanOrEqual">
      <formula>2</formula>
    </cfRule>
  </conditionalFormatting>
  <conditionalFormatting sqref="H30:H79">
    <cfRule type="cellIs" dxfId="3" priority="5" operator="equal">
      <formula>"Approved"</formula>
    </cfRule>
    <cfRule type="cellIs" dxfId="2" priority="6" operator="equal">
      <formula>"Pending"</formula>
    </cfRule>
    <cfRule type="cellIs" dxfId="1" priority="7" operator="equal">
      <formula>"Rejected"</formula>
    </cfRule>
    <cfRule type="cellIs" dxfId="0" priority="8" operator="equal">
      <formula>"Cancelled"</formula>
    </cfRule>
  </conditionalFormatting>
  <pageMargins left="0.4" right="0.4" top="0.5" bottom="0.5" header="0.2" footer="0.2"/>
  <pageSetup paperSize="9" fitToHeight="0" orientation="landscape"/>
  <extLst>
    <ext xmlns:x14="http://schemas.microsoft.com/office/spreadsheetml/2009/9/main" uri="{CCE6A557-97BC-4b89-ADB6-D9C93CAAB3DF}">
      <x14:dataValidations xmlns:xm="http://schemas.microsoft.com/office/excel/2006/main" count="3">
        <x14:dataValidation type="list" allowBlank="1" xr:uid="{00000000-0002-0000-0500-000000000000}">
          <x14:formula1>
            <xm:f>'02_Employee_Master'!$A$6:$A$25</xm:f>
          </x14:formula1>
          <xm:sqref>A30 A31 A32 A33 A34 A35 A36 A37 A38 A39 A40 A41 A42 A43 A44 A45 A46 A47 A48 A49 A50 A51 A52 A53 A54 A55 A56 A57 A58 A59 A60 A61 A62 A63 A64 A65 A66 A67 A68 A69 A70 A71 A72 A73 A74 A75 A76 A77 A78 A79</xm:sqref>
        </x14:dataValidation>
        <x14:dataValidation type="list" allowBlank="1" xr:uid="{00000000-0002-0000-0500-000001000000}">
          <x14:formula1>
            <xm:f>'01_Config'!$G$17:$G$20</xm:f>
          </x14:formula1>
          <xm:sqref>D30 D31 D32 D33 D34 D35 D36 D37 D38 D39 D40 D41 D42 D43 D44 D45 D46 D47 D48 D49 D50 D51 D52 D53 D54 D55 D56 D57 D58 D59 D60 D61 D62 D63 D64 D65 D66 D67 D68 D69 D70 D71 D72 D73 D74 D75 D76 D77 D78 D79</xm:sqref>
        </x14:dataValidation>
        <x14:dataValidation type="list" allowBlank="1" xr:uid="{00000000-0002-0000-0500-000002000000}">
          <x14:formula1>
            <xm:f>'01_Config'!$H$17:$H$20</xm:f>
          </x14:formula1>
          <xm:sqref>H30 H31 H32 H33 H34 H35 H36 H37 H38 H39 H40 H41 H42 H43 H44 H45 H46 H47 H48 H49 H50 H51 H52 H53 H54 H55 H56 H57 H58 H59 H60 H61 H62 H63 H64 H65 H66 H67 H68 H69 H70 H71 H72 H73 H74 H75 H76 H77 H78 H79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7522A"/>
    <pageSetUpPr fitToPage="1"/>
  </sheetPr>
  <dimension ref="A1:R61"/>
  <sheetViews>
    <sheetView showGridLines="0" zoomScale="90" workbookViewId="0">
      <selection sqref="A1:L6"/>
    </sheetView>
  </sheetViews>
  <sheetFormatPr defaultRowHeight="14.4" x14ac:dyDescent="0.3"/>
  <cols>
    <col min="1" max="1" width="3" customWidth="1"/>
    <col min="2" max="2" width="18" customWidth="1"/>
    <col min="3" max="6" width="14" customWidth="1"/>
    <col min="7" max="7" width="3" customWidth="1"/>
    <col min="8" max="8" width="22" customWidth="1"/>
    <col min="9" max="11" width="12" customWidth="1"/>
    <col min="12" max="12" width="14" customWidth="1"/>
  </cols>
  <sheetData>
    <row r="1" spans="1:18" ht="16.05" customHeight="1" x14ac:dyDescent="0.3">
      <c r="A1" s="36" t="s">
        <v>0</v>
      </c>
      <c r="B1" s="31"/>
      <c r="C1" s="31"/>
      <c r="D1" s="31"/>
      <c r="E1" s="31"/>
      <c r="F1" s="31"/>
      <c r="G1" s="31"/>
      <c r="H1" s="31"/>
      <c r="I1" s="31"/>
      <c r="J1" s="31"/>
      <c r="K1" s="31"/>
      <c r="L1" s="31"/>
    </row>
    <row r="2" spans="1:18" ht="25.95" customHeight="1" x14ac:dyDescent="0.3">
      <c r="A2" s="37" t="s">
        <v>326</v>
      </c>
      <c r="B2" s="31"/>
      <c r="C2" s="31"/>
      <c r="D2" s="31"/>
      <c r="E2" s="31"/>
      <c r="F2" s="31"/>
      <c r="G2" s="31"/>
      <c r="H2" s="31"/>
      <c r="I2" s="31"/>
      <c r="J2" s="31"/>
      <c r="K2" s="31"/>
      <c r="L2" s="31"/>
    </row>
    <row r="3" spans="1:18" ht="18" customHeight="1" x14ac:dyDescent="0.3">
      <c r="A3" s="38" t="s">
        <v>327</v>
      </c>
      <c r="B3" s="31"/>
      <c r="C3" s="31"/>
      <c r="D3" s="31"/>
      <c r="E3" s="31"/>
      <c r="F3" s="31"/>
      <c r="G3" s="31"/>
      <c r="H3" s="31"/>
      <c r="I3" s="31"/>
      <c r="J3" s="31"/>
      <c r="K3" s="31"/>
      <c r="L3" s="31"/>
    </row>
    <row r="4" spans="1:18" x14ac:dyDescent="0.3">
      <c r="A4" s="24"/>
      <c r="B4" s="24"/>
      <c r="C4" s="24"/>
      <c r="D4" s="24"/>
      <c r="E4" s="24"/>
      <c r="F4" s="24"/>
      <c r="G4" s="24"/>
      <c r="H4" s="24"/>
      <c r="I4" s="24"/>
      <c r="J4" s="24"/>
      <c r="K4" s="24"/>
      <c r="L4" s="24"/>
    </row>
    <row r="5" spans="1:18" x14ac:dyDescent="0.3">
      <c r="A5" s="24"/>
      <c r="B5" s="25" t="s">
        <v>328</v>
      </c>
      <c r="C5" s="25"/>
      <c r="D5" s="25"/>
      <c r="E5" s="25"/>
      <c r="F5" s="25"/>
      <c r="G5" s="24"/>
      <c r="H5" s="24"/>
      <c r="I5" s="24"/>
      <c r="J5" s="24"/>
      <c r="K5" s="24"/>
      <c r="L5" s="24"/>
    </row>
    <row r="6" spans="1:18" x14ac:dyDescent="0.3">
      <c r="A6" s="24"/>
      <c r="B6" s="39" t="s">
        <v>329</v>
      </c>
      <c r="C6" s="39" t="s">
        <v>330</v>
      </c>
      <c r="D6" s="39" t="s">
        <v>331</v>
      </c>
      <c r="E6" s="39" t="s">
        <v>332</v>
      </c>
      <c r="F6" s="39" t="s">
        <v>333</v>
      </c>
      <c r="G6" s="24"/>
      <c r="H6" s="24"/>
      <c r="I6" s="24"/>
      <c r="J6" s="24"/>
      <c r="K6" s="24"/>
      <c r="L6" s="24"/>
    </row>
    <row r="7" spans="1:18" ht="36" customHeight="1" x14ac:dyDescent="0.3">
      <c r="B7" s="15">
        <f>COUNTA('02_Employee_Master'!A6:A45)</f>
        <v>20</v>
      </c>
      <c r="C7" s="15">
        <f>COUNTIF('02_Employee_Master'!L6:L45,"Active")</f>
        <v>19</v>
      </c>
      <c r="D7" s="15">
        <f>COUNTIF('02_Employee_Master'!L6:L45,"Inactive")</f>
        <v>1</v>
      </c>
      <c r="E7" s="15">
        <f>COUNTIF('05_Leave'!H30:H79,"Approved")</f>
        <v>5</v>
      </c>
      <c r="F7" s="15">
        <f>COUNTIF('05_Leave'!H30:H79,"Pending")</f>
        <v>2</v>
      </c>
    </row>
    <row r="9" spans="1:18" x14ac:dyDescent="0.3">
      <c r="A9" s="24"/>
      <c r="B9" s="25" t="s">
        <v>334</v>
      </c>
      <c r="C9" s="25"/>
      <c r="D9" s="25"/>
      <c r="E9" s="25"/>
      <c r="F9" s="25"/>
      <c r="G9" s="24"/>
      <c r="H9" s="24"/>
      <c r="I9" s="24"/>
      <c r="J9" s="24"/>
      <c r="K9" s="24"/>
      <c r="L9" s="24"/>
      <c r="M9" s="24"/>
      <c r="N9" s="24"/>
      <c r="O9" s="24"/>
      <c r="P9" s="24"/>
      <c r="Q9" s="24"/>
      <c r="R9" s="24"/>
    </row>
    <row r="10" spans="1:18" ht="27.6" x14ac:dyDescent="0.3">
      <c r="A10" s="24"/>
      <c r="B10" s="26" t="s">
        <v>43</v>
      </c>
      <c r="C10" s="26" t="s">
        <v>50</v>
      </c>
      <c r="D10" s="26" t="s">
        <v>292</v>
      </c>
      <c r="E10" s="26" t="s">
        <v>335</v>
      </c>
      <c r="F10" s="26" t="s">
        <v>336</v>
      </c>
      <c r="G10" s="24"/>
      <c r="H10" s="24"/>
      <c r="I10" s="24"/>
      <c r="J10" s="24"/>
      <c r="K10" s="24"/>
      <c r="L10" s="24"/>
      <c r="M10" s="24"/>
      <c r="N10" s="24"/>
      <c r="O10" s="24"/>
      <c r="P10" s="24"/>
      <c r="Q10" s="24"/>
      <c r="R10" s="24"/>
    </row>
    <row r="11" spans="1:18" ht="31.95" customHeight="1" x14ac:dyDescent="0.3">
      <c r="A11" s="24"/>
      <c r="B11" s="27">
        <f>COUNTIF('04_Attendance'!S8:S27,"P")+COUNTIF('04_Attendance'!S8:S27,"L")+COUNTIF('04_Attendance'!S8:S27,"WFO")+COUNTIF('04_Attendance'!S8:S27,"OT")</f>
        <v>16</v>
      </c>
      <c r="C11" s="27">
        <f>COUNTIF('04_Attendance'!S8:S27,"A")</f>
        <v>0</v>
      </c>
      <c r="D11" s="27">
        <f>COUNTIF('04_Attendance'!S8:S27,"L")</f>
        <v>0</v>
      </c>
      <c r="E11" s="27">
        <f>COUNTIF('04_Attendance'!S8:S27,"PL")+COUNTIF('04_Attendance'!S8:S27,"UL")+COUNTIF('04_Attendance'!S8:S27,"VL")+COUNTIF('04_Attendance'!S8:S27,"SL")</f>
        <v>0</v>
      </c>
      <c r="F11" s="27">
        <f>IFERROR(AVERAGE('04_Attendance'!AP8:AP27),0)</f>
        <v>0.98975708502024307</v>
      </c>
      <c r="G11" s="24"/>
      <c r="H11" s="24"/>
      <c r="I11" s="24"/>
      <c r="J11" s="24"/>
      <c r="K11" s="24"/>
      <c r="L11" s="24"/>
      <c r="M11" s="24"/>
      <c r="N11" s="24"/>
      <c r="O11" s="24"/>
      <c r="P11" s="24"/>
      <c r="Q11" s="24"/>
      <c r="R11" s="24"/>
    </row>
    <row r="12" spans="1:18" x14ac:dyDescent="0.3">
      <c r="A12" s="24"/>
      <c r="B12" s="24"/>
      <c r="C12" s="24"/>
      <c r="D12" s="24"/>
      <c r="E12" s="24"/>
      <c r="F12" s="24"/>
      <c r="G12" s="24"/>
      <c r="H12" s="24"/>
      <c r="I12" s="24"/>
      <c r="J12" s="24"/>
      <c r="K12" s="24"/>
      <c r="L12" s="24"/>
      <c r="M12" s="24"/>
      <c r="N12" s="24"/>
      <c r="O12" s="24"/>
      <c r="P12" s="24"/>
      <c r="Q12" s="24"/>
      <c r="R12" s="24"/>
    </row>
    <row r="13" spans="1:18" x14ac:dyDescent="0.3">
      <c r="A13" s="24"/>
      <c r="B13" s="25" t="s">
        <v>337</v>
      </c>
      <c r="C13" s="25"/>
      <c r="D13" s="25"/>
      <c r="E13" s="24"/>
      <c r="F13" s="24"/>
      <c r="G13" s="24"/>
      <c r="H13" s="25" t="s">
        <v>338</v>
      </c>
      <c r="I13" s="25"/>
      <c r="J13" s="25"/>
      <c r="K13" s="25"/>
      <c r="L13" s="24"/>
      <c r="M13" s="24"/>
      <c r="N13" s="24"/>
      <c r="O13" s="24"/>
      <c r="P13" s="24"/>
      <c r="Q13" s="24"/>
      <c r="R13" s="24"/>
    </row>
    <row r="14" spans="1:18" ht="27.6" x14ac:dyDescent="0.3">
      <c r="A14" s="24"/>
      <c r="B14" s="26" t="s">
        <v>40</v>
      </c>
      <c r="C14" s="26" t="s">
        <v>47</v>
      </c>
      <c r="D14" s="26" t="s">
        <v>54</v>
      </c>
      <c r="E14" s="24"/>
      <c r="F14" s="24"/>
      <c r="G14" s="24"/>
      <c r="H14" s="26" t="s">
        <v>159</v>
      </c>
      <c r="I14" s="26" t="s">
        <v>105</v>
      </c>
      <c r="J14" s="26" t="s">
        <v>339</v>
      </c>
      <c r="K14" s="26" t="s">
        <v>340</v>
      </c>
      <c r="L14" s="24"/>
      <c r="M14" s="24"/>
      <c r="N14" s="24"/>
      <c r="O14" s="24"/>
      <c r="P14" s="24"/>
      <c r="Q14" s="24"/>
      <c r="R14" s="24"/>
    </row>
    <row r="15" spans="1:18" ht="28.8" x14ac:dyDescent="0.3">
      <c r="A15" s="24"/>
      <c r="B15" s="27">
        <f>COUNTIF('03_Roster'!S8:S27,"M")</f>
        <v>11</v>
      </c>
      <c r="C15" s="27">
        <f>COUNTIF('03_Roster'!S8:S27,"E")</f>
        <v>4</v>
      </c>
      <c r="D15" s="27">
        <f>COUNTIF('03_Roster'!S8:S27,"N")</f>
        <v>1</v>
      </c>
      <c r="E15" s="24"/>
      <c r="F15" s="24"/>
      <c r="G15" s="24"/>
      <c r="H15" s="28" t="s">
        <v>100</v>
      </c>
      <c r="I15" s="29">
        <f>COUNTIFS('02_Employee_Master'!$D$6:$D$45,H15,'02_Employee_Master'!$L$6:$L$45,"Active")</f>
        <v>3</v>
      </c>
      <c r="J15" s="29">
        <f>IFERROR(AVERAGEIF('04_Attendance'!$C$8:$C$27,H15,'04_Attendance'!$AP$8:$AP$27),"")</f>
        <v>1</v>
      </c>
      <c r="K15" s="29">
        <f>SUMIF('05_Leave'!$C$7:$C$26,H15,'05_Leave'!$K$7:$K$26)</f>
        <v>0</v>
      </c>
      <c r="L15" s="24"/>
      <c r="M15" s="24"/>
      <c r="N15" s="24"/>
      <c r="O15" s="24"/>
      <c r="P15" s="24"/>
      <c r="Q15" s="24"/>
      <c r="R15" s="24"/>
    </row>
    <row r="16" spans="1:18" x14ac:dyDescent="0.3">
      <c r="A16" s="24"/>
      <c r="B16" s="24"/>
      <c r="C16" s="24"/>
      <c r="D16" s="24"/>
      <c r="E16" s="24"/>
      <c r="F16" s="24"/>
      <c r="G16" s="24"/>
      <c r="H16" s="28" t="s">
        <v>106</v>
      </c>
      <c r="I16" s="29">
        <f>COUNTIFS('02_Employee_Master'!$D$6:$D$45,H16,'02_Employee_Master'!$L$6:$L$45,"Active")</f>
        <v>3</v>
      </c>
      <c r="J16" s="29">
        <f>IFERROR(AVERAGEIF('04_Attendance'!$C$8:$C$27,H16,'04_Attendance'!$AP$8:$AP$27),"")</f>
        <v>0.99333333333333329</v>
      </c>
      <c r="K16" s="29">
        <f>SUMIF('05_Leave'!$C$7:$C$26,H16,'05_Leave'!$K$7:$K$26)</f>
        <v>2</v>
      </c>
      <c r="L16" s="24"/>
      <c r="M16" s="24"/>
      <c r="N16" s="24"/>
      <c r="O16" s="24"/>
      <c r="P16" s="24"/>
      <c r="Q16" s="24"/>
      <c r="R16" s="24"/>
    </row>
    <row r="17" spans="1:18" x14ac:dyDescent="0.3">
      <c r="A17" s="24"/>
      <c r="B17" s="25" t="s">
        <v>341</v>
      </c>
      <c r="C17" s="25"/>
      <c r="D17" s="25"/>
      <c r="E17" s="24"/>
      <c r="F17" s="24"/>
      <c r="G17" s="24"/>
      <c r="H17" s="28" t="s">
        <v>113</v>
      </c>
      <c r="I17" s="29">
        <f>COUNTIFS('02_Employee_Master'!$D$6:$D$45,H17,'02_Employee_Master'!$L$6:$L$45,"Active")</f>
        <v>3</v>
      </c>
      <c r="J17" s="29">
        <f>IFERROR(AVERAGEIF('04_Attendance'!$C$8:$C$27,H17,'04_Attendance'!$AP$8:$AP$27),"")</f>
        <v>0.99358974358974361</v>
      </c>
      <c r="K17" s="29">
        <f>SUMIF('05_Leave'!$C$7:$C$26,H17,'05_Leave'!$K$7:$K$26)</f>
        <v>1</v>
      </c>
      <c r="L17" s="24"/>
      <c r="M17" s="24"/>
      <c r="N17" s="24"/>
      <c r="O17" s="24"/>
      <c r="P17" s="24"/>
      <c r="Q17" s="24"/>
      <c r="R17" s="24"/>
    </row>
    <row r="18" spans="1:18" ht="15.6" x14ac:dyDescent="0.3">
      <c r="A18" s="24"/>
      <c r="B18" s="30" t="s">
        <v>342</v>
      </c>
      <c r="C18" s="31"/>
      <c r="D18" s="32">
        <f>COUNTIF('05_Leave'!H30:H79,"Approved")</f>
        <v>5</v>
      </c>
      <c r="E18" s="24"/>
      <c r="F18" s="24"/>
      <c r="G18" s="24"/>
      <c r="H18" s="28" t="s">
        <v>118</v>
      </c>
      <c r="I18" s="29">
        <f>COUNTIFS('02_Employee_Master'!$D$6:$D$45,H18,'02_Employee_Master'!$L$6:$L$45,"Active")</f>
        <v>3</v>
      </c>
      <c r="J18" s="29">
        <f>IFERROR(AVERAGEIF('04_Attendance'!$C$8:$C$27,H18,'04_Attendance'!$AP$8:$AP$27),"")</f>
        <v>0.97435897435897445</v>
      </c>
      <c r="K18" s="29">
        <f>SUMIF('05_Leave'!$C$7:$C$26,H18,'05_Leave'!$K$7:$K$26)</f>
        <v>0</v>
      </c>
      <c r="L18" s="24"/>
      <c r="M18" s="24"/>
      <c r="N18" s="24"/>
      <c r="O18" s="24"/>
      <c r="P18" s="24"/>
      <c r="Q18" s="24"/>
      <c r="R18" s="24"/>
    </row>
    <row r="19" spans="1:18" ht="15.6" x14ac:dyDescent="0.3">
      <c r="A19" s="24"/>
      <c r="B19" s="30" t="s">
        <v>343</v>
      </c>
      <c r="C19" s="31"/>
      <c r="D19" s="32">
        <f>COUNTIF('05_Leave'!H30:H79,"Pending")</f>
        <v>2</v>
      </c>
      <c r="E19" s="24"/>
      <c r="F19" s="24"/>
      <c r="G19" s="24"/>
      <c r="H19" s="28" t="s">
        <v>123</v>
      </c>
      <c r="I19" s="29">
        <f>COUNTIFS('02_Employee_Master'!$D$6:$D$45,H19,'02_Employee_Master'!$L$6:$L$45,"Active")</f>
        <v>3</v>
      </c>
      <c r="J19" s="29">
        <f>IFERROR(AVERAGEIF('04_Attendance'!$C$8:$C$27,H19,'04_Attendance'!$AP$8:$AP$27),"")</f>
        <v>1</v>
      </c>
      <c r="K19" s="29">
        <f>SUMIF('05_Leave'!$C$7:$C$26,H19,'05_Leave'!$K$7:$K$26)</f>
        <v>0</v>
      </c>
      <c r="L19" s="24"/>
      <c r="M19" s="24"/>
      <c r="N19" s="24"/>
      <c r="O19" s="24"/>
      <c r="P19" s="24"/>
      <c r="Q19" s="24"/>
      <c r="R19" s="24"/>
    </row>
    <row r="20" spans="1:18" ht="15.6" x14ac:dyDescent="0.3">
      <c r="A20" s="24"/>
      <c r="B20" s="30" t="s">
        <v>117</v>
      </c>
      <c r="C20" s="31"/>
      <c r="D20" s="32">
        <f>COUNTIF('05_Leave'!H30:H79,"Rejected")</f>
        <v>1</v>
      </c>
      <c r="E20" s="24"/>
      <c r="F20" s="24"/>
      <c r="G20" s="24"/>
      <c r="H20" s="28" t="s">
        <v>125</v>
      </c>
      <c r="I20" s="29">
        <f>COUNTIFS('02_Employee_Master'!$D$6:$D$45,H20,'02_Employee_Master'!$L$6:$L$45,"Active")</f>
        <v>1</v>
      </c>
      <c r="J20" s="29">
        <f>IFERROR(AVERAGEIF('04_Attendance'!$C$8:$C$27,H20,'04_Attendance'!$AP$8:$AP$27),"")</f>
        <v>0.98</v>
      </c>
      <c r="K20" s="29">
        <f>SUMIF('05_Leave'!$C$7:$C$26,H20,'05_Leave'!$K$7:$K$26)</f>
        <v>0</v>
      </c>
      <c r="L20" s="24"/>
      <c r="M20" s="24"/>
      <c r="N20" s="24"/>
      <c r="O20" s="24"/>
      <c r="P20" s="24"/>
      <c r="Q20" s="24"/>
      <c r="R20" s="24"/>
    </row>
    <row r="21" spans="1:18" ht="15.6" x14ac:dyDescent="0.3">
      <c r="A21" s="24"/>
      <c r="B21" s="30" t="s">
        <v>344</v>
      </c>
      <c r="C21" s="31"/>
      <c r="D21" s="32">
        <f>SUMIF('05_Leave'!H30:H79,"Approved",'05_Leave'!E30:E79)</f>
        <v>7</v>
      </c>
      <c r="E21" s="24"/>
      <c r="F21" s="24"/>
      <c r="G21" s="24"/>
      <c r="H21" s="28" t="s">
        <v>127</v>
      </c>
      <c r="I21" s="29">
        <f>COUNTIFS('02_Employee_Master'!$D$6:$D$45,H21,'02_Employee_Master'!$L$6:$L$45,"Active")</f>
        <v>1</v>
      </c>
      <c r="J21" s="29">
        <f>IFERROR(AVERAGEIF('04_Attendance'!$C$8:$C$27,H21,'04_Attendance'!$AP$8:$AP$27),"")</f>
        <v>1</v>
      </c>
      <c r="K21" s="29">
        <f>SUMIF('05_Leave'!$C$7:$C$26,H21,'05_Leave'!$K$7:$K$26)</f>
        <v>0</v>
      </c>
      <c r="L21" s="24"/>
      <c r="M21" s="24"/>
      <c r="N21" s="24"/>
      <c r="O21" s="24"/>
      <c r="P21" s="24"/>
      <c r="Q21" s="24"/>
      <c r="R21" s="24"/>
    </row>
    <row r="22" spans="1:18" x14ac:dyDescent="0.3">
      <c r="A22" s="24"/>
      <c r="B22" s="24"/>
      <c r="C22" s="24"/>
      <c r="D22" s="24"/>
      <c r="E22" s="24"/>
      <c r="F22" s="24"/>
      <c r="G22" s="24"/>
      <c r="H22" s="28" t="s">
        <v>129</v>
      </c>
      <c r="I22" s="29">
        <f>COUNTIFS('02_Employee_Master'!$D$6:$D$45,H22,'02_Employee_Master'!$L$6:$L$45,"Active")</f>
        <v>2</v>
      </c>
      <c r="J22" s="29">
        <f>IFERROR(AVERAGEIF('04_Attendance'!$C$8:$C$27,H22,'04_Attendance'!$AP$8:$AP$27),"")</f>
        <v>0.97076923076923083</v>
      </c>
      <c r="K22" s="29">
        <f>SUMIF('05_Leave'!$C$7:$C$26,H22,'05_Leave'!$K$7:$K$26)</f>
        <v>0</v>
      </c>
      <c r="L22" s="24"/>
      <c r="M22" s="24"/>
      <c r="N22" s="24"/>
      <c r="O22" s="24"/>
      <c r="P22" s="24"/>
      <c r="Q22" s="24"/>
      <c r="R22" s="24"/>
    </row>
    <row r="23" spans="1:18" x14ac:dyDescent="0.3">
      <c r="A23" s="24"/>
      <c r="B23" s="24"/>
      <c r="C23" s="24"/>
      <c r="D23" s="24"/>
      <c r="E23" s="24"/>
      <c r="F23" s="24"/>
      <c r="G23" s="24"/>
      <c r="H23" s="24"/>
      <c r="I23" s="24"/>
      <c r="J23" s="24"/>
      <c r="K23" s="24"/>
      <c r="L23" s="24"/>
      <c r="M23" s="24"/>
      <c r="N23" s="24"/>
      <c r="O23" s="24"/>
      <c r="P23" s="24"/>
      <c r="Q23" s="24"/>
      <c r="R23" s="24"/>
    </row>
    <row r="24" spans="1:18" x14ac:dyDescent="0.3">
      <c r="A24" s="24"/>
      <c r="B24" s="25" t="s">
        <v>345</v>
      </c>
      <c r="C24" s="25"/>
      <c r="D24" s="25"/>
      <c r="E24" s="25"/>
      <c r="F24" s="25"/>
      <c r="G24" s="24"/>
      <c r="H24" s="24"/>
      <c r="I24" s="24"/>
      <c r="J24" s="24"/>
      <c r="K24" s="24"/>
      <c r="L24" s="24"/>
      <c r="M24" s="24"/>
      <c r="N24" s="24"/>
      <c r="O24" s="24"/>
      <c r="P24" s="24"/>
      <c r="Q24" s="24"/>
      <c r="R24" s="24"/>
    </row>
    <row r="25" spans="1:18" x14ac:dyDescent="0.3">
      <c r="A25" s="24"/>
      <c r="B25" s="33" t="s">
        <v>346</v>
      </c>
      <c r="C25" s="33" t="s">
        <v>43</v>
      </c>
      <c r="D25" s="24"/>
      <c r="E25" s="24"/>
      <c r="F25" s="24"/>
      <c r="G25" s="24"/>
      <c r="H25" s="24"/>
      <c r="I25" s="24"/>
      <c r="J25" s="24"/>
      <c r="K25" s="24"/>
      <c r="L25" s="24"/>
      <c r="M25" s="24"/>
      <c r="N25" s="24"/>
      <c r="O25" s="24"/>
      <c r="P25" s="24"/>
      <c r="Q25" s="24"/>
      <c r="R25" s="24"/>
    </row>
    <row r="26" spans="1:18" x14ac:dyDescent="0.3">
      <c r="A26" s="24"/>
      <c r="B26" s="34">
        <v>1</v>
      </c>
      <c r="C26" s="29">
        <f>'04_Attendance'!E28</f>
        <v>16</v>
      </c>
      <c r="D26" s="24"/>
      <c r="E26" s="24"/>
      <c r="F26" s="24"/>
      <c r="G26" s="24"/>
      <c r="H26" s="24"/>
      <c r="I26" s="24"/>
      <c r="J26" s="24"/>
      <c r="K26" s="24"/>
      <c r="L26" s="24"/>
      <c r="M26" s="24"/>
      <c r="N26" s="24"/>
      <c r="O26" s="24"/>
      <c r="P26" s="24"/>
      <c r="Q26" s="24"/>
      <c r="R26" s="24"/>
    </row>
    <row r="27" spans="1:18" x14ac:dyDescent="0.3">
      <c r="A27" s="24"/>
      <c r="B27" s="34">
        <v>2</v>
      </c>
      <c r="C27" s="29">
        <f>'04_Attendance'!F28</f>
        <v>16</v>
      </c>
      <c r="D27" s="24"/>
      <c r="E27" s="24"/>
      <c r="F27" s="24"/>
      <c r="G27" s="24"/>
      <c r="H27" s="24"/>
      <c r="I27" s="24"/>
      <c r="J27" s="24"/>
      <c r="K27" s="24"/>
      <c r="L27" s="24"/>
      <c r="M27" s="24"/>
      <c r="N27" s="24"/>
      <c r="O27" s="24"/>
      <c r="P27" s="24"/>
      <c r="Q27" s="24"/>
      <c r="R27" s="24"/>
    </row>
    <row r="28" spans="1:18" x14ac:dyDescent="0.3">
      <c r="A28" s="24"/>
      <c r="B28" s="34">
        <v>3</v>
      </c>
      <c r="C28" s="29">
        <f>'04_Attendance'!G28</f>
        <v>17</v>
      </c>
      <c r="D28" s="24"/>
      <c r="E28" s="24"/>
      <c r="F28" s="24"/>
      <c r="G28" s="24"/>
      <c r="H28" s="24"/>
      <c r="I28" s="24"/>
      <c r="J28" s="24"/>
      <c r="K28" s="24"/>
      <c r="L28" s="24"/>
      <c r="M28" s="24"/>
      <c r="N28" s="24"/>
      <c r="O28" s="24"/>
      <c r="P28" s="24"/>
      <c r="Q28" s="24"/>
      <c r="R28" s="24"/>
    </row>
    <row r="29" spans="1:18" x14ac:dyDescent="0.3">
      <c r="A29" s="24"/>
      <c r="B29" s="34">
        <v>4</v>
      </c>
      <c r="C29" s="29">
        <f>'04_Attendance'!H28</f>
        <v>15</v>
      </c>
      <c r="D29" s="24"/>
      <c r="E29" s="24"/>
      <c r="F29" s="24"/>
      <c r="G29" s="24"/>
      <c r="H29" s="24"/>
      <c r="I29" s="24"/>
      <c r="J29" s="24"/>
      <c r="K29" s="24"/>
      <c r="L29" s="24"/>
      <c r="M29" s="24"/>
      <c r="N29" s="24"/>
      <c r="O29" s="24"/>
      <c r="P29" s="24"/>
      <c r="Q29" s="24"/>
      <c r="R29" s="24"/>
    </row>
    <row r="30" spans="1:18" x14ac:dyDescent="0.3">
      <c r="A30" s="24"/>
      <c r="B30" s="34">
        <v>5</v>
      </c>
      <c r="C30" s="29">
        <f>'04_Attendance'!I28</f>
        <v>17</v>
      </c>
      <c r="D30" s="24"/>
      <c r="E30" s="24"/>
      <c r="F30" s="24"/>
      <c r="G30" s="24"/>
      <c r="H30" s="24"/>
      <c r="I30" s="24"/>
      <c r="J30" s="24"/>
      <c r="K30" s="24"/>
      <c r="L30" s="24"/>
      <c r="M30" s="24"/>
      <c r="N30" s="24"/>
      <c r="O30" s="24"/>
      <c r="P30" s="24"/>
      <c r="Q30" s="24"/>
      <c r="R30" s="24"/>
    </row>
    <row r="31" spans="1:18" x14ac:dyDescent="0.3">
      <c r="A31" s="24"/>
      <c r="B31" s="34">
        <v>6</v>
      </c>
      <c r="C31" s="29">
        <f>'04_Attendance'!J28</f>
        <v>15</v>
      </c>
      <c r="D31" s="24"/>
      <c r="E31" s="24"/>
      <c r="F31" s="24"/>
      <c r="G31" s="24"/>
      <c r="H31" s="24"/>
      <c r="I31" s="24"/>
      <c r="J31" s="24"/>
      <c r="K31" s="24"/>
      <c r="L31" s="24"/>
      <c r="M31" s="24"/>
      <c r="N31" s="24"/>
      <c r="O31" s="24"/>
      <c r="P31" s="24"/>
      <c r="Q31" s="24"/>
      <c r="R31" s="24"/>
    </row>
    <row r="32" spans="1:18" x14ac:dyDescent="0.3">
      <c r="A32" s="24"/>
      <c r="B32" s="34">
        <v>7</v>
      </c>
      <c r="C32" s="29">
        <f>'04_Attendance'!K28</f>
        <v>15</v>
      </c>
      <c r="D32" s="24"/>
      <c r="E32" s="24"/>
      <c r="F32" s="24"/>
      <c r="G32" s="24"/>
      <c r="H32" s="24"/>
      <c r="I32" s="24"/>
      <c r="J32" s="24"/>
      <c r="K32" s="24"/>
      <c r="L32" s="24"/>
      <c r="M32" s="24"/>
      <c r="N32" s="24"/>
      <c r="O32" s="24"/>
      <c r="P32" s="24"/>
      <c r="Q32" s="24"/>
      <c r="R32" s="24"/>
    </row>
    <row r="33" spans="1:18" x14ac:dyDescent="0.3">
      <c r="A33" s="24"/>
      <c r="B33" s="34">
        <v>8</v>
      </c>
      <c r="C33" s="29">
        <f>'04_Attendance'!L28</f>
        <v>16</v>
      </c>
      <c r="D33" s="24"/>
      <c r="E33" s="24"/>
      <c r="F33" s="24"/>
      <c r="G33" s="24"/>
      <c r="H33" s="24"/>
      <c r="I33" s="24"/>
      <c r="J33" s="24"/>
      <c r="K33" s="24"/>
      <c r="L33" s="24"/>
      <c r="M33" s="24"/>
      <c r="N33" s="24"/>
      <c r="O33" s="24"/>
      <c r="P33" s="24"/>
      <c r="Q33" s="24"/>
      <c r="R33" s="24"/>
    </row>
    <row r="34" spans="1:18" x14ac:dyDescent="0.3">
      <c r="A34" s="24"/>
      <c r="B34" s="34">
        <v>9</v>
      </c>
      <c r="C34" s="29">
        <f>'04_Attendance'!M28</f>
        <v>15</v>
      </c>
      <c r="D34" s="24"/>
      <c r="E34" s="24"/>
      <c r="F34" s="24"/>
      <c r="G34" s="24"/>
      <c r="H34" s="24"/>
      <c r="I34" s="24"/>
      <c r="J34" s="24"/>
      <c r="K34" s="24"/>
      <c r="L34" s="24"/>
      <c r="M34" s="24"/>
      <c r="N34" s="24"/>
      <c r="O34" s="24"/>
      <c r="P34" s="24"/>
      <c r="Q34" s="24"/>
      <c r="R34" s="24"/>
    </row>
    <row r="35" spans="1:18" x14ac:dyDescent="0.3">
      <c r="A35" s="24"/>
      <c r="B35" s="34">
        <v>10</v>
      </c>
      <c r="C35" s="29">
        <f>'04_Attendance'!N28</f>
        <v>17</v>
      </c>
      <c r="D35" s="24"/>
      <c r="E35" s="24"/>
      <c r="F35" s="24"/>
      <c r="G35" s="24"/>
      <c r="H35" s="24"/>
      <c r="I35" s="24"/>
      <c r="J35" s="24"/>
      <c r="K35" s="24"/>
      <c r="L35" s="24"/>
      <c r="M35" s="24"/>
      <c r="N35" s="24"/>
      <c r="O35" s="24"/>
      <c r="P35" s="24"/>
      <c r="Q35" s="24"/>
      <c r="R35" s="24"/>
    </row>
    <row r="36" spans="1:18" x14ac:dyDescent="0.3">
      <c r="A36" s="24"/>
      <c r="B36" s="34">
        <v>11</v>
      </c>
      <c r="C36" s="29">
        <f>'04_Attendance'!O28</f>
        <v>16</v>
      </c>
      <c r="D36" s="24"/>
      <c r="E36" s="24"/>
      <c r="F36" s="24"/>
      <c r="G36" s="24"/>
      <c r="H36" s="24"/>
      <c r="I36" s="24"/>
      <c r="J36" s="24"/>
      <c r="K36" s="24"/>
      <c r="L36" s="24"/>
      <c r="M36" s="24"/>
      <c r="N36" s="24"/>
      <c r="O36" s="24"/>
      <c r="P36" s="24"/>
      <c r="Q36" s="24"/>
      <c r="R36" s="24"/>
    </row>
    <row r="37" spans="1:18" x14ac:dyDescent="0.3">
      <c r="A37" s="24"/>
      <c r="B37" s="34">
        <v>12</v>
      </c>
      <c r="C37" s="29">
        <f>'04_Attendance'!P28</f>
        <v>17</v>
      </c>
      <c r="D37" s="24"/>
      <c r="E37" s="24"/>
      <c r="F37" s="24"/>
      <c r="G37" s="24"/>
      <c r="H37" s="24"/>
      <c r="I37" s="24"/>
      <c r="J37" s="24"/>
      <c r="K37" s="24"/>
      <c r="L37" s="24"/>
      <c r="M37" s="24"/>
      <c r="N37" s="24"/>
      <c r="O37" s="24"/>
      <c r="P37" s="24"/>
      <c r="Q37" s="24"/>
      <c r="R37" s="24"/>
    </row>
    <row r="38" spans="1:18" x14ac:dyDescent="0.3">
      <c r="A38" s="24"/>
      <c r="B38" s="34">
        <v>13</v>
      </c>
      <c r="C38" s="29">
        <f>'04_Attendance'!Q28</f>
        <v>16</v>
      </c>
      <c r="D38" s="24"/>
      <c r="E38" s="24"/>
      <c r="F38" s="24"/>
      <c r="G38" s="24"/>
      <c r="H38" s="24"/>
      <c r="I38" s="24"/>
      <c r="J38" s="24"/>
      <c r="K38" s="24"/>
      <c r="L38" s="24"/>
      <c r="M38" s="24"/>
      <c r="N38" s="24"/>
      <c r="O38" s="24"/>
      <c r="P38" s="24"/>
      <c r="Q38" s="24"/>
      <c r="R38" s="24"/>
    </row>
    <row r="39" spans="1:18" x14ac:dyDescent="0.3">
      <c r="A39" s="24"/>
      <c r="B39" s="34">
        <v>14</v>
      </c>
      <c r="C39" s="29">
        <f>'04_Attendance'!R28</f>
        <v>16</v>
      </c>
      <c r="D39" s="24"/>
      <c r="E39" s="24"/>
      <c r="F39" s="24"/>
      <c r="G39" s="24"/>
      <c r="H39" s="24"/>
      <c r="I39" s="24"/>
      <c r="J39" s="24"/>
      <c r="K39" s="24"/>
      <c r="L39" s="24"/>
      <c r="M39" s="24"/>
      <c r="N39" s="24"/>
      <c r="O39" s="24"/>
      <c r="P39" s="24"/>
      <c r="Q39" s="24"/>
      <c r="R39" s="24"/>
    </row>
    <row r="40" spans="1:18" x14ac:dyDescent="0.3">
      <c r="A40" s="24"/>
      <c r="B40" s="34">
        <v>15</v>
      </c>
      <c r="C40" s="29">
        <f>'04_Attendance'!S28</f>
        <v>16</v>
      </c>
      <c r="D40" s="24"/>
      <c r="E40" s="24"/>
      <c r="F40" s="24"/>
      <c r="G40" s="24"/>
      <c r="H40" s="24"/>
      <c r="I40" s="24"/>
      <c r="J40" s="24"/>
      <c r="K40" s="24"/>
      <c r="L40" s="24"/>
      <c r="M40" s="24"/>
      <c r="N40" s="24"/>
      <c r="O40" s="24"/>
      <c r="P40" s="24"/>
      <c r="Q40" s="24"/>
      <c r="R40" s="24"/>
    </row>
    <row r="41" spans="1:18" x14ac:dyDescent="0.3">
      <c r="A41" s="24"/>
      <c r="B41" s="34">
        <v>16</v>
      </c>
      <c r="C41" s="29">
        <f>'04_Attendance'!T28</f>
        <v>16</v>
      </c>
      <c r="D41" s="24"/>
      <c r="E41" s="24"/>
      <c r="F41" s="24"/>
      <c r="G41" s="24"/>
      <c r="H41" s="24"/>
      <c r="I41" s="24"/>
      <c r="J41" s="24"/>
      <c r="K41" s="24"/>
      <c r="L41" s="24"/>
      <c r="M41" s="24"/>
      <c r="N41" s="24"/>
      <c r="O41" s="24"/>
      <c r="P41" s="24"/>
      <c r="Q41" s="24"/>
      <c r="R41" s="24"/>
    </row>
    <row r="42" spans="1:18" x14ac:dyDescent="0.3">
      <c r="A42" s="24"/>
      <c r="B42" s="34">
        <v>17</v>
      </c>
      <c r="C42" s="29">
        <f>'04_Attendance'!U28</f>
        <v>17</v>
      </c>
      <c r="D42" s="24"/>
      <c r="E42" s="24"/>
      <c r="F42" s="24"/>
      <c r="G42" s="24"/>
      <c r="H42" s="24"/>
      <c r="I42" s="24"/>
      <c r="J42" s="24"/>
      <c r="K42" s="24"/>
      <c r="L42" s="24"/>
      <c r="M42" s="24"/>
      <c r="N42" s="24"/>
      <c r="O42" s="24"/>
      <c r="P42" s="24"/>
      <c r="Q42" s="24"/>
      <c r="R42" s="24"/>
    </row>
    <row r="43" spans="1:18" x14ac:dyDescent="0.3">
      <c r="A43" s="24"/>
      <c r="B43" s="34">
        <v>18</v>
      </c>
      <c r="C43" s="29">
        <f>'04_Attendance'!V28</f>
        <v>16</v>
      </c>
      <c r="D43" s="24"/>
      <c r="E43" s="24"/>
      <c r="F43" s="24"/>
      <c r="G43" s="24"/>
      <c r="H43" s="24"/>
      <c r="I43" s="24"/>
      <c r="J43" s="24"/>
      <c r="K43" s="24"/>
      <c r="L43" s="24"/>
      <c r="M43" s="24"/>
      <c r="N43" s="24"/>
      <c r="O43" s="24"/>
      <c r="P43" s="24"/>
      <c r="Q43" s="24"/>
      <c r="R43" s="24"/>
    </row>
    <row r="44" spans="1:18" x14ac:dyDescent="0.3">
      <c r="A44" s="24"/>
      <c r="B44" s="34">
        <v>19</v>
      </c>
      <c r="C44" s="29">
        <f>'04_Attendance'!W28</f>
        <v>17</v>
      </c>
      <c r="D44" s="24"/>
      <c r="E44" s="24"/>
      <c r="F44" s="24"/>
      <c r="G44" s="24"/>
      <c r="H44" s="24"/>
      <c r="I44" s="24"/>
      <c r="J44" s="24"/>
      <c r="K44" s="24"/>
      <c r="L44" s="24"/>
      <c r="M44" s="24"/>
      <c r="N44" s="24"/>
      <c r="O44" s="24"/>
      <c r="P44" s="24"/>
      <c r="Q44" s="24"/>
      <c r="R44" s="24"/>
    </row>
    <row r="45" spans="1:18" x14ac:dyDescent="0.3">
      <c r="A45" s="24"/>
      <c r="B45" s="34">
        <v>20</v>
      </c>
      <c r="C45" s="29">
        <f>'04_Attendance'!X28</f>
        <v>15</v>
      </c>
      <c r="D45" s="24"/>
      <c r="E45" s="24"/>
      <c r="F45" s="24"/>
      <c r="G45" s="24"/>
      <c r="H45" s="24"/>
      <c r="I45" s="24"/>
      <c r="J45" s="24"/>
      <c r="K45" s="24"/>
      <c r="L45" s="24"/>
      <c r="M45" s="24"/>
      <c r="N45" s="24"/>
      <c r="O45" s="24"/>
      <c r="P45" s="24"/>
      <c r="Q45" s="24"/>
      <c r="R45" s="24"/>
    </row>
    <row r="46" spans="1:18" x14ac:dyDescent="0.3">
      <c r="A46" s="24"/>
      <c r="B46" s="34">
        <v>21</v>
      </c>
      <c r="C46" s="29">
        <f>'04_Attendance'!Y28</f>
        <v>16</v>
      </c>
      <c r="D46" s="24"/>
      <c r="E46" s="24"/>
      <c r="F46" s="24"/>
      <c r="G46" s="24"/>
      <c r="H46" s="24"/>
      <c r="I46" s="24"/>
      <c r="J46" s="24"/>
      <c r="K46" s="24"/>
      <c r="L46" s="24"/>
      <c r="M46" s="24"/>
      <c r="N46" s="24"/>
      <c r="O46" s="24"/>
      <c r="P46" s="24"/>
      <c r="Q46" s="24"/>
      <c r="R46" s="24"/>
    </row>
    <row r="47" spans="1:18" x14ac:dyDescent="0.3">
      <c r="A47" s="24"/>
      <c r="B47" s="34">
        <v>22</v>
      </c>
      <c r="C47" s="29">
        <f>'04_Attendance'!Z28</f>
        <v>16</v>
      </c>
      <c r="D47" s="24"/>
      <c r="E47" s="24"/>
      <c r="F47" s="24"/>
      <c r="G47" s="24"/>
      <c r="H47" s="24"/>
      <c r="I47" s="24"/>
      <c r="J47" s="24"/>
      <c r="K47" s="24"/>
      <c r="L47" s="24"/>
      <c r="M47" s="24"/>
      <c r="N47" s="24"/>
      <c r="O47" s="24"/>
      <c r="P47" s="24"/>
      <c r="Q47" s="24"/>
      <c r="R47" s="24"/>
    </row>
    <row r="48" spans="1:18" x14ac:dyDescent="0.3">
      <c r="A48" s="24"/>
      <c r="B48" s="34">
        <v>23</v>
      </c>
      <c r="C48" s="29">
        <f>'04_Attendance'!AA28</f>
        <v>16</v>
      </c>
      <c r="D48" s="24"/>
      <c r="E48" s="24"/>
      <c r="F48" s="24"/>
      <c r="G48" s="24"/>
      <c r="H48" s="24"/>
      <c r="I48" s="24"/>
      <c r="J48" s="24"/>
      <c r="K48" s="24"/>
      <c r="L48" s="24"/>
      <c r="M48" s="24"/>
      <c r="N48" s="24"/>
      <c r="O48" s="24"/>
      <c r="P48" s="24"/>
      <c r="Q48" s="24"/>
      <c r="R48" s="24"/>
    </row>
    <row r="49" spans="1:18" x14ac:dyDescent="0.3">
      <c r="A49" s="24"/>
      <c r="B49" s="34">
        <v>24</v>
      </c>
      <c r="C49" s="29">
        <f>'04_Attendance'!AB28</f>
        <v>17</v>
      </c>
      <c r="D49" s="24"/>
      <c r="E49" s="24"/>
      <c r="F49" s="24"/>
      <c r="G49" s="24"/>
      <c r="H49" s="24"/>
      <c r="I49" s="24"/>
      <c r="J49" s="24"/>
      <c r="K49" s="24"/>
      <c r="L49" s="24"/>
      <c r="M49" s="24"/>
      <c r="N49" s="24"/>
      <c r="O49" s="24"/>
      <c r="P49" s="24"/>
      <c r="Q49" s="24"/>
      <c r="R49" s="24"/>
    </row>
    <row r="50" spans="1:18" x14ac:dyDescent="0.3">
      <c r="A50" s="24"/>
      <c r="B50" s="34">
        <v>25</v>
      </c>
      <c r="C50" s="29">
        <f>'04_Attendance'!AC28</f>
        <v>16</v>
      </c>
      <c r="D50" s="24"/>
      <c r="E50" s="24"/>
      <c r="F50" s="24"/>
      <c r="G50" s="24"/>
      <c r="H50" s="24"/>
      <c r="I50" s="24"/>
      <c r="J50" s="24"/>
      <c r="K50" s="24"/>
      <c r="L50" s="24"/>
      <c r="M50" s="24"/>
      <c r="N50" s="24"/>
      <c r="O50" s="24"/>
      <c r="P50" s="24"/>
      <c r="Q50" s="24"/>
      <c r="R50" s="24"/>
    </row>
    <row r="51" spans="1:18" x14ac:dyDescent="0.3">
      <c r="A51" s="24"/>
      <c r="B51" s="34">
        <v>26</v>
      </c>
      <c r="C51" s="29">
        <f>'04_Attendance'!AD28</f>
        <v>17</v>
      </c>
      <c r="D51" s="24"/>
      <c r="E51" s="24"/>
      <c r="F51" s="24"/>
      <c r="G51" s="24"/>
      <c r="H51" s="24"/>
      <c r="I51" s="24"/>
      <c r="J51" s="24"/>
      <c r="K51" s="24"/>
      <c r="L51" s="24"/>
      <c r="M51" s="24"/>
      <c r="N51" s="24"/>
      <c r="O51" s="24"/>
      <c r="P51" s="24"/>
      <c r="Q51" s="24"/>
      <c r="R51" s="24"/>
    </row>
    <row r="52" spans="1:18" x14ac:dyDescent="0.3">
      <c r="A52" s="24"/>
      <c r="B52" s="34">
        <v>27</v>
      </c>
      <c r="C52" s="29">
        <f>'04_Attendance'!AE28</f>
        <v>16</v>
      </c>
      <c r="D52" s="24"/>
      <c r="E52" s="24"/>
      <c r="F52" s="24"/>
      <c r="G52" s="24"/>
      <c r="H52" s="24"/>
      <c r="I52" s="24"/>
      <c r="J52" s="24"/>
      <c r="K52" s="24"/>
      <c r="L52" s="24"/>
      <c r="M52" s="24"/>
      <c r="N52" s="24"/>
      <c r="O52" s="24"/>
      <c r="P52" s="24"/>
      <c r="Q52" s="24"/>
      <c r="R52" s="24"/>
    </row>
    <row r="53" spans="1:18" x14ac:dyDescent="0.3">
      <c r="A53" s="24"/>
      <c r="B53" s="34">
        <v>28</v>
      </c>
      <c r="C53" s="29">
        <f>'04_Attendance'!AF28</f>
        <v>15</v>
      </c>
      <c r="D53" s="24"/>
      <c r="E53" s="24"/>
      <c r="F53" s="24"/>
      <c r="G53" s="24"/>
      <c r="H53" s="24"/>
      <c r="I53" s="24"/>
      <c r="J53" s="24"/>
      <c r="K53" s="24"/>
      <c r="L53" s="24"/>
      <c r="M53" s="24"/>
      <c r="N53" s="24"/>
      <c r="O53" s="24"/>
      <c r="P53" s="24"/>
      <c r="Q53" s="24"/>
      <c r="R53" s="24"/>
    </row>
    <row r="54" spans="1:18" x14ac:dyDescent="0.3">
      <c r="A54" s="24"/>
      <c r="B54" s="34">
        <v>29</v>
      </c>
      <c r="C54" s="29">
        <f>'04_Attendance'!AG28</f>
        <v>15</v>
      </c>
      <c r="D54" s="24"/>
      <c r="E54" s="24"/>
      <c r="F54" s="24"/>
      <c r="G54" s="24"/>
      <c r="H54" s="24"/>
      <c r="I54" s="24"/>
      <c r="J54" s="24"/>
      <c r="K54" s="24"/>
      <c r="L54" s="24"/>
      <c r="M54" s="24"/>
      <c r="N54" s="24"/>
      <c r="O54" s="24"/>
      <c r="P54" s="24"/>
      <c r="Q54" s="24"/>
      <c r="R54" s="24"/>
    </row>
    <row r="55" spans="1:18" x14ac:dyDescent="0.3">
      <c r="A55" s="24"/>
      <c r="B55" s="34">
        <v>30</v>
      </c>
      <c r="C55" s="29">
        <f>'04_Attendance'!AH28</f>
        <v>16</v>
      </c>
      <c r="D55" s="24"/>
      <c r="E55" s="24"/>
      <c r="F55" s="24"/>
      <c r="G55" s="24"/>
      <c r="H55" s="24"/>
      <c r="I55" s="24"/>
      <c r="J55" s="24"/>
      <c r="K55" s="24"/>
      <c r="L55" s="24"/>
      <c r="M55" s="24"/>
      <c r="N55" s="24"/>
      <c r="O55" s="24"/>
      <c r="P55" s="24"/>
      <c r="Q55" s="24"/>
      <c r="R55" s="24"/>
    </row>
    <row r="56" spans="1:18" x14ac:dyDescent="0.3">
      <c r="A56" s="24"/>
      <c r="B56" s="24"/>
      <c r="C56" s="24"/>
      <c r="D56" s="24"/>
      <c r="E56" s="24"/>
      <c r="F56" s="24"/>
      <c r="G56" s="24"/>
      <c r="H56" s="24"/>
      <c r="I56" s="24"/>
      <c r="J56" s="24"/>
      <c r="K56" s="24"/>
      <c r="L56" s="24"/>
      <c r="M56" s="24"/>
      <c r="N56" s="24"/>
      <c r="O56" s="24"/>
      <c r="P56" s="24"/>
      <c r="Q56" s="24"/>
      <c r="R56" s="24"/>
    </row>
    <row r="57" spans="1:18" x14ac:dyDescent="0.3">
      <c r="A57" s="24"/>
      <c r="B57" s="24"/>
      <c r="C57" s="24"/>
      <c r="D57" s="24"/>
      <c r="E57" s="24"/>
      <c r="F57" s="24"/>
      <c r="G57" s="24"/>
      <c r="H57" s="24"/>
      <c r="I57" s="24"/>
      <c r="J57" s="24"/>
      <c r="K57" s="24"/>
      <c r="L57" s="24"/>
      <c r="M57" s="24"/>
      <c r="N57" s="24"/>
      <c r="O57" s="24"/>
      <c r="P57" s="24"/>
      <c r="Q57" s="24"/>
      <c r="R57" s="24"/>
    </row>
    <row r="58" spans="1:18" x14ac:dyDescent="0.3">
      <c r="A58" s="24"/>
      <c r="B58" s="35" t="s">
        <v>347</v>
      </c>
      <c r="C58" s="31"/>
      <c r="D58" s="31"/>
      <c r="E58" s="31"/>
      <c r="F58" s="31"/>
      <c r="G58" s="24"/>
      <c r="H58" s="24"/>
      <c r="I58" s="24"/>
      <c r="J58" s="24"/>
      <c r="K58" s="24"/>
      <c r="L58" s="24"/>
      <c r="M58" s="24"/>
      <c r="N58" s="24"/>
      <c r="O58" s="24"/>
      <c r="P58" s="24"/>
      <c r="Q58" s="24"/>
      <c r="R58" s="24"/>
    </row>
    <row r="59" spans="1:18" x14ac:dyDescent="0.3">
      <c r="A59" s="24"/>
      <c r="B59" s="31"/>
      <c r="C59" s="31"/>
      <c r="D59" s="31"/>
      <c r="E59" s="31"/>
      <c r="F59" s="31"/>
      <c r="G59" s="24"/>
      <c r="H59" s="24"/>
      <c r="I59" s="24"/>
      <c r="J59" s="24"/>
      <c r="K59" s="24"/>
      <c r="L59" s="24"/>
      <c r="M59" s="24"/>
      <c r="N59" s="24"/>
      <c r="O59" s="24"/>
      <c r="P59" s="24"/>
      <c r="Q59" s="24"/>
      <c r="R59" s="24"/>
    </row>
    <row r="60" spans="1:18" x14ac:dyDescent="0.3">
      <c r="A60" s="24"/>
      <c r="B60" s="31"/>
      <c r="C60" s="31"/>
      <c r="D60" s="31"/>
      <c r="E60" s="31"/>
      <c r="F60" s="31"/>
      <c r="G60" s="24"/>
      <c r="H60" s="24"/>
      <c r="I60" s="24"/>
      <c r="J60" s="24"/>
      <c r="K60" s="24"/>
      <c r="L60" s="24"/>
      <c r="M60" s="24"/>
      <c r="N60" s="24"/>
      <c r="O60" s="24"/>
      <c r="P60" s="24"/>
      <c r="Q60" s="24"/>
      <c r="R60" s="24"/>
    </row>
    <row r="61" spans="1:18" x14ac:dyDescent="0.3">
      <c r="A61" s="24"/>
      <c r="B61" s="24"/>
      <c r="C61" s="24"/>
      <c r="D61" s="24"/>
      <c r="E61" s="24"/>
      <c r="F61" s="24"/>
      <c r="G61" s="24"/>
      <c r="H61" s="24"/>
      <c r="I61" s="24"/>
      <c r="J61" s="24"/>
      <c r="K61" s="24"/>
      <c r="L61" s="24"/>
      <c r="M61" s="24"/>
      <c r="N61" s="24"/>
      <c r="O61" s="24"/>
      <c r="P61" s="24"/>
      <c r="Q61" s="24"/>
      <c r="R61" s="24"/>
    </row>
  </sheetData>
  <mergeCells count="14">
    <mergeCell ref="A1:L1"/>
    <mergeCell ref="B5:F5"/>
    <mergeCell ref="B17:D17"/>
    <mergeCell ref="B13:D13"/>
    <mergeCell ref="B58:F60"/>
    <mergeCell ref="B18:C18"/>
    <mergeCell ref="A3:L3"/>
    <mergeCell ref="B9:F9"/>
    <mergeCell ref="A2:L2"/>
    <mergeCell ref="B21:C21"/>
    <mergeCell ref="H13:K13"/>
    <mergeCell ref="B24:F24"/>
    <mergeCell ref="B19:C19"/>
    <mergeCell ref="B20:C20"/>
  </mergeCells>
  <pageMargins left="0.4" right="0.4" top="0.5" bottom="0.5" header="0.2" footer="0.2"/>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00_Home</vt:lpstr>
      <vt:lpstr>01_Config</vt:lpstr>
      <vt:lpstr>02_Employee_Master</vt:lpstr>
      <vt:lpstr>03_Roster</vt:lpstr>
      <vt:lpstr>04_Attendance</vt:lpstr>
      <vt:lpstr>05_Leave</vt:lpstr>
      <vt:lpstr>06_Dashboard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2026-09-20T14:41:32Z</dcterms:created>
  <dcterms:modified xsi:type="dcterms:W3CDTF">2026-09-20T14:48:25Z</dcterms:modified>
</cp:coreProperties>
</file>